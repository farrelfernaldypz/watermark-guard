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ain Storage\Downloads\"/>
    </mc:Choice>
  </mc:AlternateContent>
  <xr:revisionPtr revIDLastSave="0" documentId="13_ncr:1_{E9297722-ED6E-4CE2-9526-8CF5ED30E974}" xr6:coauthVersionLast="47" xr6:coauthVersionMax="47" xr10:uidLastSave="{00000000-0000-0000-0000-000000000000}"/>
  <bookViews>
    <workbookView xWindow="-108" yWindow="-108" windowWidth="23256" windowHeight="13176" tabRatio="500" activeTab="4" xr2:uid="{00000000-000D-0000-FFFF-FFFF00000000}"/>
  </bookViews>
  <sheets>
    <sheet name="Data Pengujian" sheetId="1" r:id="rId1"/>
    <sheet name="Rekapitulasi" sheetId="2" r:id="rId2"/>
    <sheet name="Ringkasan" sheetId="3" r:id="rId3"/>
    <sheet name="Keterangan" sheetId="4" r:id="rId4"/>
    <sheet name="Inventaris Berkas" sheetId="5" r:id="rId5"/>
  </sheets>
  <definedNames>
    <definedName name="_xlnm._FilterDatabase" localSheetId="0" hidden="1">'Data Pengujian'!$B$4:$H$31</definedName>
    <definedName name="_xlnm.Print_Area" localSheetId="0">'Data Pengujian'!$B$2:$H$31</definedName>
    <definedName name="_xlnm.Print_Titles" localSheetId="0">'Data Pengujian'!$5:$5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" i="5" l="1"/>
  <c r="C7" i="5"/>
  <c r="C6" i="5"/>
  <c r="C5" i="5"/>
  <c r="C9" i="5" s="1"/>
  <c r="E29" i="3"/>
  <c r="D29" i="3"/>
  <c r="C29" i="3"/>
  <c r="B29" i="3"/>
  <c r="F29" i="3" s="1"/>
  <c r="E28" i="3"/>
  <c r="D28" i="3"/>
  <c r="C28" i="3"/>
  <c r="B28" i="3"/>
  <c r="E27" i="3"/>
  <c r="D27" i="3"/>
  <c r="C27" i="3"/>
  <c r="B27" i="3"/>
  <c r="F27" i="3" s="1"/>
  <c r="E26" i="3"/>
  <c r="D26" i="3"/>
  <c r="C26" i="3"/>
  <c r="B26" i="3"/>
  <c r="G26" i="3" s="1"/>
  <c r="E25" i="3"/>
  <c r="D25" i="3"/>
  <c r="C25" i="3"/>
  <c r="B25" i="3"/>
  <c r="F25" i="3" s="1"/>
  <c r="E24" i="3"/>
  <c r="D24" i="3"/>
  <c r="C24" i="3"/>
  <c r="B24" i="3"/>
  <c r="G24" i="3" s="1"/>
  <c r="E23" i="3"/>
  <c r="D23" i="3"/>
  <c r="C23" i="3"/>
  <c r="B23" i="3"/>
  <c r="F23" i="3" s="1"/>
  <c r="E22" i="3"/>
  <c r="D22" i="3"/>
  <c r="C22" i="3"/>
  <c r="B22" i="3"/>
  <c r="E21" i="3"/>
  <c r="D21" i="3"/>
  <c r="C21" i="3"/>
  <c r="B21" i="3"/>
  <c r="F21" i="3" s="1"/>
  <c r="E16" i="3"/>
  <c r="D16" i="3"/>
  <c r="C16" i="3"/>
  <c r="B16" i="3"/>
  <c r="F16" i="3" s="1"/>
  <c r="E15" i="3"/>
  <c r="D15" i="3"/>
  <c r="C15" i="3"/>
  <c r="B15" i="3"/>
  <c r="E14" i="3"/>
  <c r="D14" i="3"/>
  <c r="C14" i="3"/>
  <c r="B14" i="3"/>
  <c r="F14" i="3" s="1"/>
  <c r="B9" i="3"/>
  <c r="B8" i="3"/>
  <c r="B7" i="3"/>
  <c r="B6" i="3"/>
  <c r="C6" i="3" s="1"/>
  <c r="K7" i="2"/>
  <c r="J7" i="2"/>
  <c r="I7" i="2"/>
  <c r="H7" i="2"/>
  <c r="G7" i="2"/>
  <c r="F7" i="2"/>
  <c r="E7" i="2"/>
  <c r="D7" i="2"/>
  <c r="C7" i="2"/>
  <c r="K6" i="2"/>
  <c r="J6" i="2"/>
  <c r="I6" i="2"/>
  <c r="H6" i="2"/>
  <c r="G6" i="2"/>
  <c r="F6" i="2"/>
  <c r="E6" i="2"/>
  <c r="D6" i="2"/>
  <c r="C6" i="2"/>
  <c r="K5" i="2"/>
  <c r="J5" i="2"/>
  <c r="I5" i="2"/>
  <c r="H5" i="2"/>
  <c r="G5" i="2"/>
  <c r="F5" i="2"/>
  <c r="E5" i="2"/>
  <c r="D5" i="2"/>
  <c r="C5" i="2"/>
  <c r="C8" i="3" l="1"/>
  <c r="D17" i="3"/>
  <c r="D30" i="3"/>
  <c r="C30" i="3"/>
  <c r="F30" i="3" s="1"/>
  <c r="E17" i="3"/>
  <c r="E30" i="3"/>
  <c r="C9" i="3"/>
  <c r="G29" i="3"/>
  <c r="G15" i="3"/>
  <c r="G22" i="3"/>
  <c r="G28" i="3"/>
  <c r="C7" i="3"/>
  <c r="C17" i="3"/>
  <c r="B30" i="3"/>
  <c r="G14" i="3"/>
  <c r="G21" i="3"/>
  <c r="G27" i="3"/>
  <c r="G23" i="3"/>
  <c r="B17" i="3"/>
  <c r="G16" i="3"/>
  <c r="G25" i="3"/>
  <c r="F15" i="3"/>
  <c r="F22" i="3"/>
  <c r="F24" i="3"/>
  <c r="F26" i="3"/>
  <c r="F28" i="3"/>
  <c r="G30" i="3" l="1"/>
  <c r="G17" i="3"/>
  <c r="F17" i="3"/>
</calcChain>
</file>

<file path=xl/sharedStrings.xml><?xml version="1.0" encoding="utf-8"?>
<sst xmlns="http://schemas.openxmlformats.org/spreadsheetml/2006/main" count="446" uniqueCount="137">
  <si>
    <t>Data Pengujian WatermarkGuard (Hybrid DWT-DCT)</t>
  </si>
  <si>
    <t>No</t>
  </si>
  <si>
    <t>Citra Uji</t>
  </si>
  <si>
    <t>Jenis Serangan</t>
  </si>
  <si>
    <t>File Hasil Serangan</t>
  </si>
  <si>
    <t>NC</t>
  </si>
  <si>
    <t>BER</t>
  </si>
  <si>
    <t>Status</t>
  </si>
  <si>
    <t>Animasi</t>
  </si>
  <si>
    <t>Brightness +20</t>
  </si>
  <si>
    <t>attacked_brightness_plus20_Animasi_watermarked.png</t>
  </si>
  <si>
    <t>N/A</t>
  </si>
  <si>
    <t>FAIL</t>
  </si>
  <si>
    <t>Contrast 1.2</t>
  </si>
  <si>
    <t>attacked_contrast_1.2_Animasi_watermarked.png</t>
  </si>
  <si>
    <t>Crop 10%</t>
  </si>
  <si>
    <t>attacked_crop_10pct_Animasi_watermarked.png</t>
  </si>
  <si>
    <t>Gaussian Blur</t>
  </si>
  <si>
    <t>attacked_gaussian_blur_Animasi_watermarked.png</t>
  </si>
  <si>
    <t>SUCCESS</t>
  </si>
  <si>
    <t>Gaussian Noise</t>
  </si>
  <si>
    <t>attacked_gaussian_noise_Animasi_watermarked.png</t>
  </si>
  <si>
    <t>JPEG 50</t>
  </si>
  <si>
    <t>attacked_jpeg_50_Animasi_watermarked.jpg</t>
  </si>
  <si>
    <t>JPEG 70</t>
  </si>
  <si>
    <t>attacked_jpeg_70_Animasi_watermarked.jpg</t>
  </si>
  <si>
    <t>JPEG 90</t>
  </si>
  <si>
    <t>attacked_jpeg_90_Animasi_watermarked.jpg</t>
  </si>
  <si>
    <t>Resize 75%</t>
  </si>
  <si>
    <t>attacked_resize_75pct_Animasi_watermarked.png</t>
  </si>
  <si>
    <t>Makhluk hidup</t>
  </si>
  <si>
    <t>attacked_brightness_plus20_Makhluk hidup_watermarked.png</t>
  </si>
  <si>
    <t>attacked_contrast_1.2_Makhluk hidup_watermarked.png</t>
  </si>
  <si>
    <t>attacked_crop_10pct_Makhluk hidup_watermarked.png</t>
  </si>
  <si>
    <t>attacked_gaussian_blur_Makhluk hidup_watermarked.png</t>
  </si>
  <si>
    <t>attacked_gaussian_noise_Makhluk hidup_watermarked.png</t>
  </si>
  <si>
    <t>attacked_jpeg_50_Makhluk hidup_watermarked.jpg</t>
  </si>
  <si>
    <t>attacked_jpeg_70_Makhluk hidup_watermarked.jpg</t>
  </si>
  <si>
    <t>attacked_jpeg_90_Makhluk hidup_watermarked.jpg</t>
  </si>
  <si>
    <t>attacked_resize_75pct_Makhluk hidup_watermarked.png</t>
  </si>
  <si>
    <t>Pemandangan</t>
  </si>
  <si>
    <t>attacked_brightness_plus20_Pemandangan_watermarked.png</t>
  </si>
  <si>
    <t>attacked_contrast_1.2_Pemandangan_watermarked.png</t>
  </si>
  <si>
    <t>attacked_crop_10pct_Pemandangan_watermarked.png</t>
  </si>
  <si>
    <t>attacked_gaussian_blur_Pemandangan_watermarked.png</t>
  </si>
  <si>
    <t>attacked_gaussian_noise_Pemandangan_watermarked.png</t>
  </si>
  <si>
    <t>attacked_jpeg_50_Pemandangan_watermarked.jpg</t>
  </si>
  <si>
    <t>attacked_jpeg_70_Pemandangan_watermarked.jpg</t>
  </si>
  <si>
    <t>attacked_jpeg_90_Pemandangan_watermarked.jpg</t>
  </si>
  <si>
    <t>attacked_resize_75pct_Pemandangan_watermarked.png</t>
  </si>
  <si>
    <t>Rekapitulasi Hasil Pengujian per Citra dan Jenis Serangan</t>
  </si>
  <si>
    <t>Citra</t>
  </si>
  <si>
    <t>Ringkasan Hasil Pengujian</t>
  </si>
  <si>
    <t>A. Keseluruhan</t>
  </si>
  <si>
    <t>Kategori</t>
  </si>
  <si>
    <t>Jumlah</t>
  </si>
  <si>
    <t>Persentase</t>
  </si>
  <si>
    <t>Total pengujian</t>
  </si>
  <si>
    <t>BELUM ADA DATA</t>
  </si>
  <si>
    <t>Catatan: status SUCCESS/FAIL mengikuti hasil pengujian yang ditetapkan penguji (5 FAIL, 22 SUCCESS); lihat sheet Keterangan.</t>
  </si>
  <si>
    <t>B. Per Jenis Citra</t>
  </si>
  <si>
    <t>Total</t>
  </si>
  <si>
    <t>% SUCCESS</t>
  </si>
  <si>
    <t>% FAIL</t>
  </si>
  <si>
    <t>C. Per Jenis Serangan</t>
  </si>
  <si>
    <t>Keterangan Data Pengujian</t>
  </si>
  <si>
    <t>1. Tujuan Pengujian</t>
  </si>
  <si>
    <t>Tujuan</t>
  </si>
  <si>
    <t>Menguji ketahanan (robustness) watermark hybrid DWT-DCT pada aplikasi WatermarkGuard: apakah watermark/identitas pemilik masih dapat dideteksi setelah citra ber-watermark dikenai 9 jenis serangan.</t>
  </si>
  <si>
    <t>2. Jenis Citra Uji</t>
  </si>
  <si>
    <t>Citra asli: Mentahan/Animasi.jpeg; citra ber-watermark: Watermarked/Animasi/Animasi_watermarked.png; dimensi 736 × 736 px.</t>
  </si>
  <si>
    <t>Citra asli: Mentahan/Makhluk hidup.jpeg; citra ber-watermark: Watermarked/Makhluk hidup/Makhluk hidup_watermarked.png; dimensi 960 × 1280 px.</t>
  </si>
  <si>
    <t>Citra asli: Mentahan/Pemandangan.jpeg; citra ber-watermark: Watermarked/Pemandangan/Pemandangan_watermarked.png; dimensi 960 × 1280 px.</t>
  </si>
  <si>
    <t>3. Jenis Serangan (9 serangan, sesuai nama berkas di folder Attacked)</t>
  </si>
  <si>
    <t>Perubahan kecerahan citra. Nilai +20 mengikuti nama berkas (brightness_plus20); lihat catatan pemeriksaan no. 6.</t>
  </si>
  <si>
    <t>Perubahan kontras citra. Nilai 1.2 mengikuti nama berkas (contrast_1.2).</t>
  </si>
  <si>
    <t>Pemotongan sebagian citra (crop_10pct); dimensi hasil lebih kecil dari citra asli.</t>
  </si>
  <si>
    <t>Pengaburan citra dengan filter Gaussian. Parameter tidak tercantum pada nama berkas.</t>
  </si>
  <si>
    <t>Penambahan derau (noise) Gaussian. Parameter tidak tercantum pada nama berkas.</t>
  </si>
  <si>
    <t>Kompresi JPEG; angka 50 pada nama berkas (jpeg_50). Lihat catatan pemeriksaan no. 4.</t>
  </si>
  <si>
    <t>Kompresi JPEG; angka 70 pada nama berkas (jpeg_70). Lihat catatan pemeriksaan no. 4.</t>
  </si>
  <si>
    <t>Kompresi JPEG; angka 90 pada nama berkas (jpeg_90). Lihat catatan pemeriksaan no. 4.</t>
  </si>
  <si>
    <t>Pengubahan ukuran citra ke 75% (resize_75pct). Lihat catatan pemeriksaan no. 5.</t>
  </si>
  <si>
    <t>4. Metrik</t>
  </si>
  <si>
    <t>NC (Normalized Correlation)</t>
  </si>
  <si>
    <t>Ukuran kemiripan antara watermark asli dan watermark hasil ekstraksi. Semakin mendekati 1, semakin mirip. Nilai NC yang tercatat pada sheet Data Pengujian: 1 pada 22 pengujian SUCCESS dan 0,9844 pada Animasi — Contrast 1.2. Ditulis N/A pada 4 pengujian yang tidak memiliki nilai (Animasi — Brightness +20 dan ketiga Crop 10%).</t>
  </si>
  <si>
    <t>BER (Bit Error Rate)</t>
  </si>
  <si>
    <t>Perbandingan jumlah bit watermark yang salah terekstraksi terhadap total bit watermark. Semakin mendekati 0, semakin sedikit kesalahan. Nilai BER yang tercatat pada sheet Data Pengujian: 0 pada 22 pengujian SUCCESS dan 0,0078 pada Animasi — Contrast 1.2. Ditulis N/A pada 4 pengujian yang tidak memiliki nilai (Animasi — Brightness +20 dan ketiga Crop 10%). Tidak ada nilai NC/BER yang ditambahkan atau diubah pada perbaikan ini.</t>
  </si>
  <si>
    <t>5. Definisi Status</t>
  </si>
  <si>
    <t>Watermark/identitas masih berhasil dideteksi setelah serangan.</t>
  </si>
  <si>
    <t>Watermark/identitas tidak berhasil dideteksi, atau integritas watermark tidak memenuhi hasil pengujian.</t>
  </si>
  <si>
    <t>Tidak digunakan pada hasil akhir: seluruh 27 pengujian berstatus SUCCESS atau FAIL (jumlah BELUM ADA DATA = 0). Kategori ini hanya ditampilkan pada sheet Ringkasan sebagai informasi.</t>
  </si>
  <si>
    <t>Ambang batas</t>
  </si>
  <si>
    <t>Ambang batas NC/BER untuk menentukan SUCCESS/FAIL tidak ditetapkan di dalam workbook ini. Status SUCCESS/FAIL mengikuti hasil pengujian yang ditetapkan penguji, bukan dihitung otomatis dari nilai NC/BER.</t>
  </si>
  <si>
    <t>6. Catatan Pemeriksaan Berkas</t>
  </si>
  <si>
    <t>1. Hasil deteksi</t>
  </si>
  <si>
    <t>ZIP hanya berisi citra (asli, watermarked, hasil serangan) dan 6 berkas key. Tidak ada log, tabel, atau dokumen hasil deteksi/NC/BER. Tidak ada berkas yang tidak relevan; berkas key adalah berkas pendukung.</t>
  </si>
  <si>
    <t>2. Hasil dan sumber status</t>
  </si>
  <si>
    <t>Total pengujian = 27 (3 citra × 9 serangan): 22 SUCCESS (81,48%) dan 5 FAIL (18,52%); tidak ada pengujian berstatus BELUM ADA DATA. Lima hasil FAIL yang ditetapkan penguji: Animasi — Brightness +20; Animasi — Contrast 1.2; Animasi — Crop 10%; Makhluk hidup — Crop 10%; Pemandangan — Crop 10%. Ke-22 pengujian lainnya berstatus SUCCESS.</t>
  </si>
  <si>
    <t>3. Berkas key</t>
  </si>
  <si>
    <t>Berkas key di folder Watermarked dan Attacked untuk tiap citra berisi teks identik (diverifikasi dengan hash SHA-256). Isi key tidak ditampilkan di workbook ini.</t>
  </si>
  <si>
    <t>4. PERLU DIPERIKSA: JPEG 50/70/90</t>
  </si>
  <si>
    <t>Tabel kuantisasi pada ke-9 berkas .jpg (3 citra × 3 varian) sama dan setara dengan kualitas 75, tidak sesuai dengan angka 50, 70, dan 90 pada nama berkas. Penyebabnya tidak dapat dipastikan dari data di ZIP.</t>
  </si>
  <si>
    <t>5. Resize 75%</t>
  </si>
  <si>
    <t>Dimensi berkas hasil serangan sama dengan citra Watermarked. Tidak ada informasi di ZIP mengenai apakah citra dikembalikan ke ukuran semula sebelum deteksi.</t>
  </si>
  <si>
    <t>6. Brightness +20</t>
  </si>
  <si>
    <t>Pada sampel piksel, rasio hasil serangan terhadap citra Watermarked berkisar sekitar 1,19 (proporsional), bukan selisih konstan 20. Makna angka 20 pada nama berkas perlu dikonfirmasi dari kode serangan.</t>
  </si>
  <si>
    <t>Inventaris Berkas dalam data_pengujian.zip</t>
  </si>
  <si>
    <t>Jumlah berkas</t>
  </si>
  <si>
    <t>Citra asli</t>
  </si>
  <si>
    <t>Citra ber-watermark</t>
  </si>
  <si>
    <t>Hasil serangan</t>
  </si>
  <si>
    <t>Berkas key</t>
  </si>
  <si>
    <t>Total berkas</t>
  </si>
  <si>
    <t>Tidak ada berkas yang tidak relevan dengan pengujian; berkas key adalah berkas pendukung.</t>
  </si>
  <si>
    <t>Nama Berkas</t>
  </si>
  <si>
    <t>Format</t>
  </si>
  <si>
    <t>Dimensi (px)</t>
  </si>
  <si>
    <t>Ukuran (KB)</t>
  </si>
  <si>
    <t>Animasi.jpeg</t>
  </si>
  <si>
    <t>JPEG</t>
  </si>
  <si>
    <t>736 × 736</t>
  </si>
  <si>
    <t>Makhluk hidup.jpeg</t>
  </si>
  <si>
    <t>960 × 1280</t>
  </si>
  <si>
    <t>Pemandangan.jpeg</t>
  </si>
  <si>
    <t>Animasi_watermarked.png</t>
  </si>
  <si>
    <t>PNG</t>
  </si>
  <si>
    <t>animasi_key.txt</t>
  </si>
  <si>
    <t>TXT</t>
  </si>
  <si>
    <t>-</t>
  </si>
  <si>
    <t>Makhluk hidup_watermarked.png</t>
  </si>
  <si>
    <t>makhluk hidup_key.txt</t>
  </si>
  <si>
    <t>Pemandangan_watermarked.png</t>
  </si>
  <si>
    <t>pemandangan_key.txt</t>
  </si>
  <si>
    <t>664 × 664</t>
  </si>
  <si>
    <t>JPG</t>
  </si>
  <si>
    <t>864 × 1152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</si>
</sst>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.0"/>
  </numFmts>
  <fonts count="9" x14ac:knownFonts="1">
    <font>
      <sz val="11"/>
      <color theme="1"/>
      <name val="Calibri"/>
      <family val="2"/>
      <charset val="1"/>
    </font>
    <font>
      <i/>
      <sz val="9"/>
      <color rgb="FF595959"/>
      <name val="Arial"/>
      <charset val="1"/>
    </font>
    <font>
      <b/>
      <sz val="14"/>
      <color rgb="FF1F3864"/>
      <name val="Arial"/>
      <charset val="1"/>
    </font>
    <font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7F7F7F"/>
      <name val="Arial"/>
      <charset val="1"/>
    </font>
    <font>
      <b/>
      <sz val="10"/>
      <name val="Arial"/>
      <charset val="1"/>
    </font>
    <font>
      <sz val="10"/>
      <color rgb="FF008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6EFCE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0" xfId="0" applyFont="1"/>
    <xf numFmtId="10" fontId="5" fillId="0" borderId="1" xfId="0" applyNumberFormat="1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10" fontId="7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/>
    <xf numFmtId="0" fontId="0" fillId="3" borderId="1" xfId="0" applyFill="1" applyBorder="1"/>
    <xf numFmtId="0" fontId="7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165" fontId="5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61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32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J5" sqref="J5"/>
    </sheetView>
  </sheetViews>
  <sheetFormatPr defaultColWidth="8.6640625" defaultRowHeight="14.4" x14ac:dyDescent="0.3"/>
  <cols>
    <col min="1" max="1" width="3" customWidth="1"/>
    <col min="2" max="2" width="6" customWidth="1"/>
    <col min="3" max="3" width="16" customWidth="1"/>
    <col min="4" max="4" width="17" customWidth="1"/>
    <col min="5" max="5" width="60" customWidth="1"/>
    <col min="6" max="7" width="10" customWidth="1"/>
    <col min="8" max="8" width="12" customWidth="1"/>
  </cols>
  <sheetData>
    <row r="2" spans="1:8" ht="17.25" customHeight="1" x14ac:dyDescent="0.3">
      <c r="A2" s="3" t="s">
        <v>0</v>
      </c>
    </row>
    <row r="3" spans="1:8" ht="14.25" customHeight="1" x14ac:dyDescent="0.3">
      <c r="A3" s="2"/>
      <c r="B3" s="4"/>
    </row>
    <row r="4" spans="1:8" x14ac:dyDescent="0.3"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</row>
    <row r="5" spans="1:8" ht="30" customHeight="1" x14ac:dyDescent="0.3">
      <c r="B5" s="6">
        <v>1</v>
      </c>
      <c r="C5" s="7" t="s">
        <v>8</v>
      </c>
      <c r="D5" s="7" t="s">
        <v>9</v>
      </c>
      <c r="E5" s="7" t="s">
        <v>10</v>
      </c>
      <c r="F5" s="8" t="s">
        <v>11</v>
      </c>
      <c r="G5" s="8" t="s">
        <v>11</v>
      </c>
      <c r="H5" s="9" t="s">
        <v>12</v>
      </c>
    </row>
    <row r="6" spans="1:8" ht="19.5" customHeight="1" x14ac:dyDescent="0.3">
      <c r="B6" s="6">
        <v>2</v>
      </c>
      <c r="C6" s="7" t="s">
        <v>8</v>
      </c>
      <c r="D6" s="7" t="s">
        <v>13</v>
      </c>
      <c r="E6" s="7" t="s">
        <v>14</v>
      </c>
      <c r="F6" s="10">
        <v>0.98440000000000005</v>
      </c>
      <c r="G6" s="10">
        <v>7.7999999999999996E-3</v>
      </c>
      <c r="H6" s="9" t="s">
        <v>12</v>
      </c>
    </row>
    <row r="7" spans="1:8" ht="19.5" customHeight="1" x14ac:dyDescent="0.3">
      <c r="B7" s="6">
        <v>3</v>
      </c>
      <c r="C7" s="7" t="s">
        <v>8</v>
      </c>
      <c r="D7" s="7" t="s">
        <v>15</v>
      </c>
      <c r="E7" s="7" t="s">
        <v>16</v>
      </c>
      <c r="F7" s="8" t="s">
        <v>11</v>
      </c>
      <c r="G7" s="8" t="s">
        <v>11</v>
      </c>
      <c r="H7" s="9" t="s">
        <v>12</v>
      </c>
    </row>
    <row r="8" spans="1:8" ht="19.5" customHeight="1" x14ac:dyDescent="0.3">
      <c r="B8" s="6">
        <v>4</v>
      </c>
      <c r="C8" s="7" t="s">
        <v>8</v>
      </c>
      <c r="D8" s="7" t="s">
        <v>17</v>
      </c>
      <c r="E8" s="7" t="s">
        <v>18</v>
      </c>
      <c r="F8" s="10">
        <v>1</v>
      </c>
      <c r="G8" s="10">
        <v>0</v>
      </c>
      <c r="H8" s="9" t="s">
        <v>19</v>
      </c>
    </row>
    <row r="9" spans="1:8" ht="19.5" customHeight="1" x14ac:dyDescent="0.3">
      <c r="B9" s="6">
        <v>5</v>
      </c>
      <c r="C9" s="7" t="s">
        <v>8</v>
      </c>
      <c r="D9" s="7" t="s">
        <v>20</v>
      </c>
      <c r="E9" s="7" t="s">
        <v>21</v>
      </c>
      <c r="F9" s="10">
        <v>1</v>
      </c>
      <c r="G9" s="10">
        <v>0</v>
      </c>
      <c r="H9" s="9" t="s">
        <v>19</v>
      </c>
    </row>
    <row r="10" spans="1:8" ht="19.5" customHeight="1" x14ac:dyDescent="0.3">
      <c r="B10" s="6">
        <v>6</v>
      </c>
      <c r="C10" s="7" t="s">
        <v>8</v>
      </c>
      <c r="D10" s="7" t="s">
        <v>22</v>
      </c>
      <c r="E10" s="7" t="s">
        <v>23</v>
      </c>
      <c r="F10" s="10">
        <v>1</v>
      </c>
      <c r="G10" s="10">
        <v>0</v>
      </c>
      <c r="H10" s="9" t="s">
        <v>19</v>
      </c>
    </row>
    <row r="11" spans="1:8" ht="19.5" customHeight="1" x14ac:dyDescent="0.3">
      <c r="B11" s="6">
        <v>7</v>
      </c>
      <c r="C11" s="7" t="s">
        <v>8</v>
      </c>
      <c r="D11" s="7" t="s">
        <v>24</v>
      </c>
      <c r="E11" s="7" t="s">
        <v>25</v>
      </c>
      <c r="F11" s="10">
        <v>1</v>
      </c>
      <c r="G11" s="10">
        <v>0</v>
      </c>
      <c r="H11" s="9" t="s">
        <v>19</v>
      </c>
    </row>
    <row r="12" spans="1:8" ht="19.5" customHeight="1" x14ac:dyDescent="0.3">
      <c r="B12" s="6">
        <v>8</v>
      </c>
      <c r="C12" s="7" t="s">
        <v>8</v>
      </c>
      <c r="D12" s="7" t="s">
        <v>26</v>
      </c>
      <c r="E12" s="7" t="s">
        <v>27</v>
      </c>
      <c r="F12" s="10">
        <v>1</v>
      </c>
      <c r="G12" s="10">
        <v>0</v>
      </c>
      <c r="H12" s="9" t="s">
        <v>19</v>
      </c>
    </row>
    <row r="13" spans="1:8" ht="19.5" customHeight="1" x14ac:dyDescent="0.3">
      <c r="B13" s="6">
        <v>9</v>
      </c>
      <c r="C13" s="7" t="s">
        <v>8</v>
      </c>
      <c r="D13" s="7" t="s">
        <v>28</v>
      </c>
      <c r="E13" s="7" t="s">
        <v>29</v>
      </c>
      <c r="F13" s="10">
        <v>1</v>
      </c>
      <c r="G13" s="10">
        <v>0</v>
      </c>
      <c r="H13" s="9" t="s">
        <v>19</v>
      </c>
    </row>
    <row r="14" spans="1:8" ht="19.5" customHeight="1" x14ac:dyDescent="0.3">
      <c r="B14" s="6">
        <v>10</v>
      </c>
      <c r="C14" s="7" t="s">
        <v>30</v>
      </c>
      <c r="D14" s="7" t="s">
        <v>9</v>
      </c>
      <c r="E14" s="7" t="s">
        <v>31</v>
      </c>
      <c r="F14" s="10">
        <v>1</v>
      </c>
      <c r="G14" s="10">
        <v>0</v>
      </c>
      <c r="H14" s="9" t="s">
        <v>19</v>
      </c>
    </row>
    <row r="15" spans="1:8" ht="19.5" customHeight="1" x14ac:dyDescent="0.3">
      <c r="B15" s="6">
        <v>11</v>
      </c>
      <c r="C15" s="7" t="s">
        <v>30</v>
      </c>
      <c r="D15" s="7" t="s">
        <v>13</v>
      </c>
      <c r="E15" s="7" t="s">
        <v>32</v>
      </c>
      <c r="F15" s="10">
        <v>1</v>
      </c>
      <c r="G15" s="10">
        <v>0</v>
      </c>
      <c r="H15" s="9" t="s">
        <v>19</v>
      </c>
    </row>
    <row r="16" spans="1:8" ht="19.5" customHeight="1" x14ac:dyDescent="0.3">
      <c r="B16" s="6">
        <v>12</v>
      </c>
      <c r="C16" s="7" t="s">
        <v>30</v>
      </c>
      <c r="D16" s="7" t="s">
        <v>15</v>
      </c>
      <c r="E16" s="7" t="s">
        <v>33</v>
      </c>
      <c r="F16" s="8" t="s">
        <v>11</v>
      </c>
      <c r="G16" s="8" t="s">
        <v>11</v>
      </c>
      <c r="H16" s="9" t="s">
        <v>12</v>
      </c>
    </row>
    <row r="17" spans="2:8" ht="19.5" customHeight="1" x14ac:dyDescent="0.3">
      <c r="B17" s="6">
        <v>13</v>
      </c>
      <c r="C17" s="7" t="s">
        <v>30</v>
      </c>
      <c r="D17" s="7" t="s">
        <v>17</v>
      </c>
      <c r="E17" s="7" t="s">
        <v>34</v>
      </c>
      <c r="F17" s="10">
        <v>1</v>
      </c>
      <c r="G17" s="10">
        <v>0</v>
      </c>
      <c r="H17" s="9" t="s">
        <v>19</v>
      </c>
    </row>
    <row r="18" spans="2:8" ht="19.5" customHeight="1" x14ac:dyDescent="0.3">
      <c r="B18" s="6">
        <v>14</v>
      </c>
      <c r="C18" s="7" t="s">
        <v>30</v>
      </c>
      <c r="D18" s="7" t="s">
        <v>20</v>
      </c>
      <c r="E18" s="7" t="s">
        <v>35</v>
      </c>
      <c r="F18" s="10">
        <v>1</v>
      </c>
      <c r="G18" s="10">
        <v>0</v>
      </c>
      <c r="H18" s="9" t="s">
        <v>19</v>
      </c>
    </row>
    <row r="19" spans="2:8" ht="19.5" customHeight="1" x14ac:dyDescent="0.3">
      <c r="B19" s="6">
        <v>15</v>
      </c>
      <c r="C19" s="7" t="s">
        <v>30</v>
      </c>
      <c r="D19" s="7" t="s">
        <v>22</v>
      </c>
      <c r="E19" s="7" t="s">
        <v>36</v>
      </c>
      <c r="F19" s="10">
        <v>1</v>
      </c>
      <c r="G19" s="10">
        <v>0</v>
      </c>
      <c r="H19" s="9" t="s">
        <v>19</v>
      </c>
    </row>
    <row r="20" spans="2:8" ht="19.5" customHeight="1" x14ac:dyDescent="0.3">
      <c r="B20" s="6">
        <v>16</v>
      </c>
      <c r="C20" s="7" t="s">
        <v>30</v>
      </c>
      <c r="D20" s="7" t="s">
        <v>24</v>
      </c>
      <c r="E20" s="7" t="s">
        <v>37</v>
      </c>
      <c r="F20" s="10">
        <v>1</v>
      </c>
      <c r="G20" s="10">
        <v>0</v>
      </c>
      <c r="H20" s="9" t="s">
        <v>19</v>
      </c>
    </row>
    <row r="21" spans="2:8" ht="19.5" customHeight="1" x14ac:dyDescent="0.3">
      <c r="B21" s="6">
        <v>17</v>
      </c>
      <c r="C21" s="7" t="s">
        <v>30</v>
      </c>
      <c r="D21" s="7" t="s">
        <v>26</v>
      </c>
      <c r="E21" s="7" t="s">
        <v>38</v>
      </c>
      <c r="F21" s="10">
        <v>1</v>
      </c>
      <c r="G21" s="10">
        <v>0</v>
      </c>
      <c r="H21" s="9" t="s">
        <v>19</v>
      </c>
    </row>
    <row r="22" spans="2:8" ht="19.5" customHeight="1" x14ac:dyDescent="0.3">
      <c r="B22" s="6">
        <v>18</v>
      </c>
      <c r="C22" s="7" t="s">
        <v>30</v>
      </c>
      <c r="D22" s="7" t="s">
        <v>28</v>
      </c>
      <c r="E22" s="7" t="s">
        <v>39</v>
      </c>
      <c r="F22" s="10">
        <v>1</v>
      </c>
      <c r="G22" s="10">
        <v>0</v>
      </c>
      <c r="H22" s="9" t="s">
        <v>19</v>
      </c>
    </row>
    <row r="23" spans="2:8" ht="19.5" customHeight="1" x14ac:dyDescent="0.3">
      <c r="B23" s="6">
        <v>19</v>
      </c>
      <c r="C23" s="7" t="s">
        <v>40</v>
      </c>
      <c r="D23" s="7" t="s">
        <v>9</v>
      </c>
      <c r="E23" s="7" t="s">
        <v>41</v>
      </c>
      <c r="F23" s="10">
        <v>1</v>
      </c>
      <c r="G23" s="10">
        <v>0</v>
      </c>
      <c r="H23" s="9" t="s">
        <v>19</v>
      </c>
    </row>
    <row r="24" spans="2:8" ht="19.5" customHeight="1" x14ac:dyDescent="0.3">
      <c r="B24" s="6">
        <v>20</v>
      </c>
      <c r="C24" s="7" t="s">
        <v>40</v>
      </c>
      <c r="D24" s="7" t="s">
        <v>13</v>
      </c>
      <c r="E24" s="7" t="s">
        <v>42</v>
      </c>
      <c r="F24" s="10">
        <v>1</v>
      </c>
      <c r="G24" s="10">
        <v>0</v>
      </c>
      <c r="H24" s="9" t="s">
        <v>19</v>
      </c>
    </row>
    <row r="25" spans="2:8" ht="19.5" customHeight="1" x14ac:dyDescent="0.3">
      <c r="B25" s="6">
        <v>21</v>
      </c>
      <c r="C25" s="7" t="s">
        <v>40</v>
      </c>
      <c r="D25" s="7" t="s">
        <v>15</v>
      </c>
      <c r="E25" s="7" t="s">
        <v>43</v>
      </c>
      <c r="F25" s="8" t="s">
        <v>11</v>
      </c>
      <c r="G25" s="8" t="s">
        <v>11</v>
      </c>
      <c r="H25" s="9" t="s">
        <v>12</v>
      </c>
    </row>
    <row r="26" spans="2:8" ht="19.5" customHeight="1" x14ac:dyDescent="0.3">
      <c r="B26" s="6">
        <v>22</v>
      </c>
      <c r="C26" s="7" t="s">
        <v>40</v>
      </c>
      <c r="D26" s="7" t="s">
        <v>17</v>
      </c>
      <c r="E26" s="7" t="s">
        <v>44</v>
      </c>
      <c r="F26" s="10">
        <v>1</v>
      </c>
      <c r="G26" s="10">
        <v>0</v>
      </c>
      <c r="H26" s="9" t="s">
        <v>19</v>
      </c>
    </row>
    <row r="27" spans="2:8" ht="19.5" customHeight="1" x14ac:dyDescent="0.3">
      <c r="B27" s="6">
        <v>23</v>
      </c>
      <c r="C27" s="7" t="s">
        <v>40</v>
      </c>
      <c r="D27" s="7" t="s">
        <v>20</v>
      </c>
      <c r="E27" s="7" t="s">
        <v>45</v>
      </c>
      <c r="F27" s="10">
        <v>1</v>
      </c>
      <c r="G27" s="10">
        <v>0</v>
      </c>
      <c r="H27" s="9" t="s">
        <v>19</v>
      </c>
    </row>
    <row r="28" spans="2:8" ht="19.5" customHeight="1" x14ac:dyDescent="0.3">
      <c r="B28" s="6">
        <v>24</v>
      </c>
      <c r="C28" s="7" t="s">
        <v>40</v>
      </c>
      <c r="D28" s="7" t="s">
        <v>22</v>
      </c>
      <c r="E28" s="7" t="s">
        <v>46</v>
      </c>
      <c r="F28" s="10">
        <v>1</v>
      </c>
      <c r="G28" s="10">
        <v>0</v>
      </c>
      <c r="H28" s="9" t="s">
        <v>19</v>
      </c>
    </row>
    <row r="29" spans="2:8" ht="19.5" customHeight="1" x14ac:dyDescent="0.3">
      <c r="B29" s="6">
        <v>25</v>
      </c>
      <c r="C29" s="7" t="s">
        <v>40</v>
      </c>
      <c r="D29" s="7" t="s">
        <v>24</v>
      </c>
      <c r="E29" s="7" t="s">
        <v>47</v>
      </c>
      <c r="F29" s="10">
        <v>1</v>
      </c>
      <c r="G29" s="10">
        <v>0</v>
      </c>
      <c r="H29" s="9" t="s">
        <v>19</v>
      </c>
    </row>
    <row r="30" spans="2:8" ht="19.5" customHeight="1" x14ac:dyDescent="0.3">
      <c r="B30" s="6">
        <v>26</v>
      </c>
      <c r="C30" s="7" t="s">
        <v>40</v>
      </c>
      <c r="D30" s="7" t="s">
        <v>26</v>
      </c>
      <c r="E30" s="7" t="s">
        <v>48</v>
      </c>
      <c r="F30" s="10">
        <v>1</v>
      </c>
      <c r="G30" s="10">
        <v>0</v>
      </c>
      <c r="H30" s="9" t="s">
        <v>19</v>
      </c>
    </row>
    <row r="31" spans="2:8" ht="19.5" customHeight="1" x14ac:dyDescent="0.3">
      <c r="B31" s="6">
        <v>27</v>
      </c>
      <c r="C31" s="7" t="s">
        <v>40</v>
      </c>
      <c r="D31" s="7" t="s">
        <v>28</v>
      </c>
      <c r="E31" s="7" t="s">
        <v>49</v>
      </c>
      <c r="F31" s="10">
        <v>1</v>
      </c>
      <c r="G31" s="10">
        <v>0</v>
      </c>
      <c r="H31" s="9" t="s">
        <v>19</v>
      </c>
    </row>
    <row r="32" spans="2:8" ht="19.5" customHeight="1" x14ac:dyDescent="0.3"/>
  </sheetData>
  <autoFilter ref="B4:H31" xr:uid="{00000000-0009-0000-0000-000000000000}"/>
  <conditionalFormatting sqref="H5:H31">
    <cfRule type="cellIs" dxfId="3" priority="2" operator="equal">
      <formula>"SUCCESS"</formula>
    </cfRule>
    <cfRule type="cellIs" dxfId="2" priority="3" operator="equal">
      <formula>"FAIL"</formula>
    </cfRule>
  </conditionalFormatting>
  <dataValidations count="1">
    <dataValidation type="list" showErrorMessage="1" errorTitle="Status tidak valid" error="Pilih SUCCESS atau FAIL." sqref="H5:H31" xr:uid="{00000000-0002-0000-0000-000000000000}">
      <formula1>"SUCCESS,FAIL"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K7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L5" sqref="L5"/>
    </sheetView>
  </sheetViews>
  <sheetFormatPr defaultColWidth="8.6640625" defaultRowHeight="14.4" x14ac:dyDescent="0.3"/>
  <cols>
    <col min="1" max="1" width="8.5546875" customWidth="1"/>
    <col min="2" max="2" width="16" customWidth="1"/>
    <col min="3" max="3" width="14.33203125" bestFit="1" customWidth="1"/>
    <col min="4" max="4" width="11.77734375" bestFit="1" customWidth="1"/>
    <col min="5" max="5" width="11.77734375" customWidth="1"/>
    <col min="6" max="6" width="13.44140625" bestFit="1" customWidth="1"/>
    <col min="7" max="7" width="14.6640625" bestFit="1" customWidth="1"/>
    <col min="8" max="8" width="12.44140625" customWidth="1"/>
    <col min="9" max="10" width="14.21875" customWidth="1"/>
    <col min="11" max="11" width="13.88671875" customWidth="1"/>
  </cols>
  <sheetData>
    <row r="1" spans="2:11" ht="17.25" customHeight="1" x14ac:dyDescent="0.3"/>
    <row r="2" spans="2:11" ht="14.25" customHeight="1" x14ac:dyDescent="0.3">
      <c r="B2" s="3" t="s">
        <v>50</v>
      </c>
    </row>
    <row r="3" spans="2:11" x14ac:dyDescent="0.3">
      <c r="B3" s="2"/>
    </row>
    <row r="4" spans="2:11" ht="33.75" customHeight="1" x14ac:dyDescent="0.3">
      <c r="B4" s="5" t="s">
        <v>51</v>
      </c>
      <c r="C4" s="5" t="s">
        <v>9</v>
      </c>
      <c r="D4" s="5" t="s">
        <v>13</v>
      </c>
      <c r="E4" s="5" t="s">
        <v>15</v>
      </c>
      <c r="F4" s="5" t="s">
        <v>17</v>
      </c>
      <c r="G4" s="5" t="s">
        <v>20</v>
      </c>
      <c r="H4" s="5" t="s">
        <v>22</v>
      </c>
      <c r="I4" s="5" t="s">
        <v>24</v>
      </c>
      <c r="J4" s="5" t="s">
        <v>26</v>
      </c>
      <c r="K4" s="5" t="s">
        <v>28</v>
      </c>
    </row>
    <row r="5" spans="2:11" ht="33.75" customHeight="1" x14ac:dyDescent="0.3">
      <c r="B5" s="11" t="s">
        <v>8</v>
      </c>
      <c r="C5" s="12" t="str">
        <f>'Data Pengujian'!H5</f>
        <v>FAIL</v>
      </c>
      <c r="D5" s="12" t="str">
        <f>'Data Pengujian'!H6</f>
        <v>FAIL</v>
      </c>
      <c r="E5" s="12" t="str">
        <f>'Data Pengujian'!H7</f>
        <v>FAIL</v>
      </c>
      <c r="F5" s="12" t="str">
        <f>'Data Pengujian'!H8</f>
        <v>SUCCESS</v>
      </c>
      <c r="G5" s="12" t="str">
        <f>'Data Pengujian'!H9</f>
        <v>SUCCESS</v>
      </c>
      <c r="H5" s="12" t="str">
        <f>'Data Pengujian'!H10</f>
        <v>SUCCESS</v>
      </c>
      <c r="I5" s="12" t="str">
        <f>'Data Pengujian'!H11</f>
        <v>SUCCESS</v>
      </c>
      <c r="J5" s="12" t="str">
        <f>'Data Pengujian'!H12</f>
        <v>SUCCESS</v>
      </c>
      <c r="K5" s="12" t="str">
        <f>'Data Pengujian'!H13</f>
        <v>SUCCESS</v>
      </c>
    </row>
    <row r="6" spans="2:11" ht="33.75" customHeight="1" x14ac:dyDescent="0.3">
      <c r="B6" s="11" t="s">
        <v>30</v>
      </c>
      <c r="C6" s="12" t="str">
        <f>'Data Pengujian'!H14</f>
        <v>SUCCESS</v>
      </c>
      <c r="D6" s="12" t="str">
        <f>'Data Pengujian'!H15</f>
        <v>SUCCESS</v>
      </c>
      <c r="E6" s="12" t="str">
        <f>'Data Pengujian'!H16</f>
        <v>FAIL</v>
      </c>
      <c r="F6" s="12" t="str">
        <f>'Data Pengujian'!H17</f>
        <v>SUCCESS</v>
      </c>
      <c r="G6" s="12" t="str">
        <f>'Data Pengujian'!H18</f>
        <v>SUCCESS</v>
      </c>
      <c r="H6" s="12" t="str">
        <f>'Data Pengujian'!H19</f>
        <v>SUCCESS</v>
      </c>
      <c r="I6" s="12" t="str">
        <f>'Data Pengujian'!H20</f>
        <v>SUCCESS</v>
      </c>
      <c r="J6" s="12" t="str">
        <f>'Data Pengujian'!H21</f>
        <v>SUCCESS</v>
      </c>
      <c r="K6" s="12" t="str">
        <f>'Data Pengujian'!H22</f>
        <v>SUCCESS</v>
      </c>
    </row>
    <row r="7" spans="2:11" ht="33.75" customHeight="1" x14ac:dyDescent="0.3">
      <c r="B7" s="11" t="s">
        <v>40</v>
      </c>
      <c r="C7" s="12" t="str">
        <f>'Data Pengujian'!H23</f>
        <v>SUCCESS</v>
      </c>
      <c r="D7" s="12" t="str">
        <f>'Data Pengujian'!H24</f>
        <v>SUCCESS</v>
      </c>
      <c r="E7" s="12" t="str">
        <f>'Data Pengujian'!H25</f>
        <v>FAIL</v>
      </c>
      <c r="F7" s="12" t="str">
        <f>'Data Pengujian'!H26</f>
        <v>SUCCESS</v>
      </c>
      <c r="G7" s="12" t="str">
        <f>'Data Pengujian'!H27</f>
        <v>SUCCESS</v>
      </c>
      <c r="H7" s="12" t="str">
        <f>'Data Pengujian'!H28</f>
        <v>SUCCESS</v>
      </c>
      <c r="I7" s="12" t="str">
        <f>'Data Pengujian'!H29</f>
        <v>SUCCESS</v>
      </c>
      <c r="J7" s="12" t="str">
        <f>'Data Pengujian'!H30</f>
        <v>SUCCESS</v>
      </c>
      <c r="K7" s="12" t="str">
        <f>'Data Pengujian'!H31</f>
        <v>SUCCESS</v>
      </c>
    </row>
  </sheetData>
  <conditionalFormatting sqref="C5:K7">
    <cfRule type="cellIs" dxfId="1" priority="2" operator="equal">
      <formula>"SUCCESS"</formula>
    </cfRule>
    <cfRule type="cellIs" dxfId="0" priority="3" operator="equal">
      <formula>"FAIL"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30"/>
  <sheetViews>
    <sheetView zoomScaleNormal="100" workbookViewId="0">
      <selection activeCell="G12" sqref="G12"/>
    </sheetView>
  </sheetViews>
  <sheetFormatPr defaultColWidth="8.6640625" defaultRowHeight="14.4" x14ac:dyDescent="0.3"/>
  <cols>
    <col min="1" max="1" width="22" customWidth="1"/>
    <col min="2" max="4" width="12" customWidth="1"/>
    <col min="5" max="5" width="18" customWidth="1"/>
    <col min="6" max="7" width="13" customWidth="1"/>
  </cols>
  <sheetData>
    <row r="1" spans="1:7" ht="17.25" customHeight="1" x14ac:dyDescent="0.3"/>
    <row r="2" spans="1:7" ht="25.5" customHeight="1" x14ac:dyDescent="0.3">
      <c r="A2" s="3" t="s">
        <v>52</v>
      </c>
      <c r="B2" s="23"/>
      <c r="C2" s="23"/>
      <c r="D2" s="23"/>
      <c r="E2" s="23"/>
      <c r="F2" s="23"/>
      <c r="G2" s="23"/>
    </row>
    <row r="4" spans="1:7" ht="14.25" customHeight="1" x14ac:dyDescent="0.3">
      <c r="A4" s="13" t="s">
        <v>53</v>
      </c>
    </row>
    <row r="5" spans="1:7" ht="30" customHeight="1" x14ac:dyDescent="0.3">
      <c r="A5" s="5" t="s">
        <v>54</v>
      </c>
      <c r="B5" s="5" t="s">
        <v>55</v>
      </c>
      <c r="C5" s="5" t="s">
        <v>56</v>
      </c>
    </row>
    <row r="6" spans="1:7" ht="14.25" customHeight="1" x14ac:dyDescent="0.3">
      <c r="A6" s="11" t="s">
        <v>57</v>
      </c>
      <c r="B6" s="12">
        <f>COUNTA('Data Pengujian'!$E$5:$E$31)</f>
        <v>27</v>
      </c>
      <c r="C6" s="14">
        <f>B6/$B$6</f>
        <v>1</v>
      </c>
    </row>
    <row r="7" spans="1:7" ht="14.25" customHeight="1" x14ac:dyDescent="0.3">
      <c r="A7" s="11" t="s">
        <v>19</v>
      </c>
      <c r="B7" s="12">
        <f>COUNTIF('Data Pengujian'!$H$5:$H$31,"SUCCESS")</f>
        <v>22</v>
      </c>
      <c r="C7" s="14">
        <f>B7/$B$6</f>
        <v>0.81481481481481477</v>
      </c>
    </row>
    <row r="8" spans="1:7" ht="14.25" customHeight="1" x14ac:dyDescent="0.3">
      <c r="A8" s="11" t="s">
        <v>12</v>
      </c>
      <c r="B8" s="12">
        <f>COUNTIF('Data Pengujian'!$H$5:$H$31,"FAIL")</f>
        <v>5</v>
      </c>
      <c r="C8" s="14">
        <f>B8/$B$6</f>
        <v>0.18518518518518517</v>
      </c>
    </row>
    <row r="9" spans="1:7" ht="14.25" customHeight="1" x14ac:dyDescent="0.3">
      <c r="A9" s="11" t="s">
        <v>58</v>
      </c>
      <c r="B9" s="12">
        <f>COUNTIF('Data Pengujian'!$H$5:$H$31,"BELUM ADA DATA")</f>
        <v>0</v>
      </c>
      <c r="C9" s="14">
        <f>B9/$B$6</f>
        <v>0</v>
      </c>
    </row>
    <row r="10" spans="1:7" ht="25.5" customHeight="1" x14ac:dyDescent="0.3">
      <c r="A10" s="1" t="s">
        <v>59</v>
      </c>
      <c r="B10" s="1"/>
      <c r="C10" s="1"/>
      <c r="D10" s="1"/>
      <c r="E10" s="1"/>
      <c r="F10" s="1"/>
      <c r="G10" s="1"/>
    </row>
    <row r="12" spans="1:7" ht="14.25" customHeight="1" x14ac:dyDescent="0.3">
      <c r="A12" s="13" t="s">
        <v>60</v>
      </c>
    </row>
    <row r="13" spans="1:7" ht="30" customHeight="1" x14ac:dyDescent="0.3">
      <c r="A13" s="5" t="s">
        <v>51</v>
      </c>
      <c r="B13" s="5" t="s">
        <v>61</v>
      </c>
      <c r="C13" s="5" t="s">
        <v>19</v>
      </c>
      <c r="D13" s="5" t="s">
        <v>12</v>
      </c>
      <c r="E13" s="5" t="s">
        <v>58</v>
      </c>
      <c r="F13" s="5" t="s">
        <v>62</v>
      </c>
      <c r="G13" s="5" t="s">
        <v>63</v>
      </c>
    </row>
    <row r="14" spans="1:7" ht="14.25" customHeight="1" x14ac:dyDescent="0.3">
      <c r="A14" s="11" t="s">
        <v>8</v>
      </c>
      <c r="B14" s="6">
        <f>COUNTIF('Data Pengujian'!$C$5:$C$31,$A14)</f>
        <v>9</v>
      </c>
      <c r="C14" s="6">
        <f>COUNTIFS('Data Pengujian'!$C$5:$C$31,$A14,'Data Pengujian'!$H$5:$H$31,"SUCCESS")</f>
        <v>6</v>
      </c>
      <c r="D14" s="6">
        <f>COUNTIFS('Data Pengujian'!$C$5:$C$31,$A14,'Data Pengujian'!$H$5:$H$31,"FAIL")</f>
        <v>3</v>
      </c>
      <c r="E14" s="6">
        <f>COUNTIFS('Data Pengujian'!$C$5:$C$31,$A14,'Data Pengujian'!$H$5:$H$31,"BELUM ADA DATA")</f>
        <v>0</v>
      </c>
      <c r="F14" s="14">
        <f>IF(B14=0,0,C14/B14)</f>
        <v>0.66666666666666663</v>
      </c>
      <c r="G14" s="14">
        <f>IF(B14=0,0,D14/B14)</f>
        <v>0.33333333333333331</v>
      </c>
    </row>
    <row r="15" spans="1:7" ht="14.25" customHeight="1" x14ac:dyDescent="0.3">
      <c r="A15" s="11" t="s">
        <v>30</v>
      </c>
      <c r="B15" s="6">
        <f>COUNTIF('Data Pengujian'!$C$5:$C$31,$A15)</f>
        <v>9</v>
      </c>
      <c r="C15" s="6">
        <f>COUNTIFS('Data Pengujian'!$C$5:$C$31,$A15,'Data Pengujian'!$H$5:$H$31,"SUCCESS")</f>
        <v>8</v>
      </c>
      <c r="D15" s="6">
        <f>COUNTIFS('Data Pengujian'!$C$5:$C$31,$A15,'Data Pengujian'!$H$5:$H$31,"FAIL")</f>
        <v>1</v>
      </c>
      <c r="E15" s="6">
        <f>COUNTIFS('Data Pengujian'!$C$5:$C$31,$A15,'Data Pengujian'!$H$5:$H$31,"BELUM ADA DATA")</f>
        <v>0</v>
      </c>
      <c r="F15" s="14">
        <f>IF(B15=0,0,C15/B15)</f>
        <v>0.88888888888888884</v>
      </c>
      <c r="G15" s="14">
        <f>IF(B15=0,0,D15/B15)</f>
        <v>0.1111111111111111</v>
      </c>
    </row>
    <row r="16" spans="1:7" ht="14.25" customHeight="1" x14ac:dyDescent="0.3">
      <c r="A16" s="11" t="s">
        <v>40</v>
      </c>
      <c r="B16" s="6">
        <f>COUNTIF('Data Pengujian'!$C$5:$C$31,$A16)</f>
        <v>9</v>
      </c>
      <c r="C16" s="6">
        <f>COUNTIFS('Data Pengujian'!$C$5:$C$31,$A16,'Data Pengujian'!$H$5:$H$31,"SUCCESS")</f>
        <v>8</v>
      </c>
      <c r="D16" s="6">
        <f>COUNTIFS('Data Pengujian'!$C$5:$C$31,$A16,'Data Pengujian'!$H$5:$H$31,"FAIL")</f>
        <v>1</v>
      </c>
      <c r="E16" s="6">
        <f>COUNTIFS('Data Pengujian'!$C$5:$C$31,$A16,'Data Pengujian'!$H$5:$H$31,"BELUM ADA DATA")</f>
        <v>0</v>
      </c>
      <c r="F16" s="14">
        <f>IF(B16=0,0,C16/B16)</f>
        <v>0.88888888888888884</v>
      </c>
      <c r="G16" s="14">
        <f>IF(B16=0,0,D16/B16)</f>
        <v>0.1111111111111111</v>
      </c>
    </row>
    <row r="17" spans="1:7" ht="14.25" customHeight="1" x14ac:dyDescent="0.3">
      <c r="A17" s="15" t="s">
        <v>61</v>
      </c>
      <c r="B17" s="16">
        <f>SUM(B14:B16)</f>
        <v>27</v>
      </c>
      <c r="C17" s="16">
        <f>SUM(C14:C16)</f>
        <v>22</v>
      </c>
      <c r="D17" s="16">
        <f>SUM(D14:D16)</f>
        <v>5</v>
      </c>
      <c r="E17" s="16">
        <f>SUM(E14:E16)</f>
        <v>0</v>
      </c>
      <c r="F17" s="17">
        <f>IF(B17=0,0,C17/B17)</f>
        <v>0.81481481481481477</v>
      </c>
      <c r="G17" s="17">
        <f>IF(B17=0,0,D17/B17)</f>
        <v>0.18518518518518517</v>
      </c>
    </row>
    <row r="19" spans="1:7" ht="14.25" customHeight="1" x14ac:dyDescent="0.3">
      <c r="A19" s="13" t="s">
        <v>64</v>
      </c>
    </row>
    <row r="20" spans="1:7" ht="30" customHeight="1" x14ac:dyDescent="0.3">
      <c r="A20" s="5" t="s">
        <v>3</v>
      </c>
      <c r="B20" s="5" t="s">
        <v>61</v>
      </c>
      <c r="C20" s="5" t="s">
        <v>19</v>
      </c>
      <c r="D20" s="5" t="s">
        <v>12</v>
      </c>
      <c r="E20" s="5" t="s">
        <v>58</v>
      </c>
      <c r="F20" s="5" t="s">
        <v>62</v>
      </c>
      <c r="G20" s="5" t="s">
        <v>63</v>
      </c>
    </row>
    <row r="21" spans="1:7" ht="14.25" customHeight="1" x14ac:dyDescent="0.3">
      <c r="A21" s="11" t="s">
        <v>9</v>
      </c>
      <c r="B21" s="6">
        <f>COUNTIF('Data Pengujian'!$D$5:$D$31,$A21)</f>
        <v>3</v>
      </c>
      <c r="C21" s="6">
        <f>COUNTIFS('Data Pengujian'!$D$5:$D$31,$A21,'Data Pengujian'!$H$5:$H$31,"SUCCESS")</f>
        <v>2</v>
      </c>
      <c r="D21" s="6">
        <f>COUNTIFS('Data Pengujian'!$D$5:$D$31,$A21,'Data Pengujian'!$H$5:$H$31,"FAIL")</f>
        <v>1</v>
      </c>
      <c r="E21" s="6">
        <f>COUNTIFS('Data Pengujian'!$D$5:$D$31,$A21,'Data Pengujian'!$H$5:$H$31,"BELUM ADA DATA")</f>
        <v>0</v>
      </c>
      <c r="F21" s="14">
        <f t="shared" ref="F21:F30" si="0">IF(B21=0,0,C21/B21)</f>
        <v>0.66666666666666663</v>
      </c>
      <c r="G21" s="14">
        <f t="shared" ref="G21:G30" si="1">IF(B21=0,0,D21/B21)</f>
        <v>0.33333333333333331</v>
      </c>
    </row>
    <row r="22" spans="1:7" ht="14.25" customHeight="1" x14ac:dyDescent="0.3">
      <c r="A22" s="11" t="s">
        <v>13</v>
      </c>
      <c r="B22" s="6">
        <f>COUNTIF('Data Pengujian'!$D$5:$D$31,$A22)</f>
        <v>3</v>
      </c>
      <c r="C22" s="6">
        <f>COUNTIFS('Data Pengujian'!$D$5:$D$31,$A22,'Data Pengujian'!$H$5:$H$31,"SUCCESS")</f>
        <v>2</v>
      </c>
      <c r="D22" s="6">
        <f>COUNTIFS('Data Pengujian'!$D$5:$D$31,$A22,'Data Pengujian'!$H$5:$H$31,"FAIL")</f>
        <v>1</v>
      </c>
      <c r="E22" s="6">
        <f>COUNTIFS('Data Pengujian'!$D$5:$D$31,$A22,'Data Pengujian'!$H$5:$H$31,"BELUM ADA DATA")</f>
        <v>0</v>
      </c>
      <c r="F22" s="14">
        <f t="shared" si="0"/>
        <v>0.66666666666666663</v>
      </c>
      <c r="G22" s="14">
        <f t="shared" si="1"/>
        <v>0.33333333333333331</v>
      </c>
    </row>
    <row r="23" spans="1:7" ht="14.25" customHeight="1" x14ac:dyDescent="0.3">
      <c r="A23" s="11" t="s">
        <v>15</v>
      </c>
      <c r="B23" s="6">
        <f>COUNTIF('Data Pengujian'!$D$5:$D$31,$A23)</f>
        <v>3</v>
      </c>
      <c r="C23" s="6">
        <f>COUNTIFS('Data Pengujian'!$D$5:$D$31,$A23,'Data Pengujian'!$H$5:$H$31,"SUCCESS")</f>
        <v>0</v>
      </c>
      <c r="D23" s="6">
        <f>COUNTIFS('Data Pengujian'!$D$5:$D$31,$A23,'Data Pengujian'!$H$5:$H$31,"FAIL")</f>
        <v>3</v>
      </c>
      <c r="E23" s="6">
        <f>COUNTIFS('Data Pengujian'!$D$5:$D$31,$A23,'Data Pengujian'!$H$5:$H$31,"BELUM ADA DATA")</f>
        <v>0</v>
      </c>
      <c r="F23" s="14">
        <f t="shared" si="0"/>
        <v>0</v>
      </c>
      <c r="G23" s="14">
        <f t="shared" si="1"/>
        <v>1</v>
      </c>
    </row>
    <row r="24" spans="1:7" ht="14.25" customHeight="1" x14ac:dyDescent="0.3">
      <c r="A24" s="11" t="s">
        <v>17</v>
      </c>
      <c r="B24" s="6">
        <f>COUNTIF('Data Pengujian'!$D$5:$D$31,$A24)</f>
        <v>3</v>
      </c>
      <c r="C24" s="6">
        <f>COUNTIFS('Data Pengujian'!$D$5:$D$31,$A24,'Data Pengujian'!$H$5:$H$31,"SUCCESS")</f>
        <v>3</v>
      </c>
      <c r="D24" s="6">
        <f>COUNTIFS('Data Pengujian'!$D$5:$D$31,$A24,'Data Pengujian'!$H$5:$H$31,"FAIL")</f>
        <v>0</v>
      </c>
      <c r="E24" s="6">
        <f>COUNTIFS('Data Pengujian'!$D$5:$D$31,$A24,'Data Pengujian'!$H$5:$H$31,"BELUM ADA DATA")</f>
        <v>0</v>
      </c>
      <c r="F24" s="14">
        <f t="shared" si="0"/>
        <v>1</v>
      </c>
      <c r="G24" s="14">
        <f t="shared" si="1"/>
        <v>0</v>
      </c>
    </row>
    <row r="25" spans="1:7" ht="14.25" customHeight="1" x14ac:dyDescent="0.3">
      <c r="A25" s="11" t="s">
        <v>20</v>
      </c>
      <c r="B25" s="6">
        <f>COUNTIF('Data Pengujian'!$D$5:$D$31,$A25)</f>
        <v>3</v>
      </c>
      <c r="C25" s="6">
        <f>COUNTIFS('Data Pengujian'!$D$5:$D$31,$A25,'Data Pengujian'!$H$5:$H$31,"SUCCESS")</f>
        <v>3</v>
      </c>
      <c r="D25" s="6">
        <f>COUNTIFS('Data Pengujian'!$D$5:$D$31,$A25,'Data Pengujian'!$H$5:$H$31,"FAIL")</f>
        <v>0</v>
      </c>
      <c r="E25" s="6">
        <f>COUNTIFS('Data Pengujian'!$D$5:$D$31,$A25,'Data Pengujian'!$H$5:$H$31,"BELUM ADA DATA")</f>
        <v>0</v>
      </c>
      <c r="F25" s="14">
        <f t="shared" si="0"/>
        <v>1</v>
      </c>
      <c r="G25" s="14">
        <f t="shared" si="1"/>
        <v>0</v>
      </c>
    </row>
    <row r="26" spans="1:7" ht="14.25" customHeight="1" x14ac:dyDescent="0.3">
      <c r="A26" s="11" t="s">
        <v>22</v>
      </c>
      <c r="B26" s="6">
        <f>COUNTIF('Data Pengujian'!$D$5:$D$31,$A26)</f>
        <v>3</v>
      </c>
      <c r="C26" s="6">
        <f>COUNTIFS('Data Pengujian'!$D$5:$D$31,$A26,'Data Pengujian'!$H$5:$H$31,"SUCCESS")</f>
        <v>3</v>
      </c>
      <c r="D26" s="6">
        <f>COUNTIFS('Data Pengujian'!$D$5:$D$31,$A26,'Data Pengujian'!$H$5:$H$31,"FAIL")</f>
        <v>0</v>
      </c>
      <c r="E26" s="6">
        <f>COUNTIFS('Data Pengujian'!$D$5:$D$31,$A26,'Data Pengujian'!$H$5:$H$31,"BELUM ADA DATA")</f>
        <v>0</v>
      </c>
      <c r="F26" s="14">
        <f t="shared" si="0"/>
        <v>1</v>
      </c>
      <c r="G26" s="14">
        <f t="shared" si="1"/>
        <v>0</v>
      </c>
    </row>
    <row r="27" spans="1:7" ht="14.25" customHeight="1" x14ac:dyDescent="0.3">
      <c r="A27" s="11" t="s">
        <v>24</v>
      </c>
      <c r="B27" s="6">
        <f>COUNTIF('Data Pengujian'!$D$5:$D$31,$A27)</f>
        <v>3</v>
      </c>
      <c r="C27" s="6">
        <f>COUNTIFS('Data Pengujian'!$D$5:$D$31,$A27,'Data Pengujian'!$H$5:$H$31,"SUCCESS")</f>
        <v>3</v>
      </c>
      <c r="D27" s="6">
        <f>COUNTIFS('Data Pengujian'!$D$5:$D$31,$A27,'Data Pengujian'!$H$5:$H$31,"FAIL")</f>
        <v>0</v>
      </c>
      <c r="E27" s="6">
        <f>COUNTIFS('Data Pengujian'!$D$5:$D$31,$A27,'Data Pengujian'!$H$5:$H$31,"BELUM ADA DATA")</f>
        <v>0</v>
      </c>
      <c r="F27" s="14">
        <f t="shared" si="0"/>
        <v>1</v>
      </c>
      <c r="G27" s="14">
        <f t="shared" si="1"/>
        <v>0</v>
      </c>
    </row>
    <row r="28" spans="1:7" ht="14.25" customHeight="1" x14ac:dyDescent="0.3">
      <c r="A28" s="11" t="s">
        <v>26</v>
      </c>
      <c r="B28" s="6">
        <f>COUNTIF('Data Pengujian'!$D$5:$D$31,$A28)</f>
        <v>3</v>
      </c>
      <c r="C28" s="6">
        <f>COUNTIFS('Data Pengujian'!$D$5:$D$31,$A28,'Data Pengujian'!$H$5:$H$31,"SUCCESS")</f>
        <v>3</v>
      </c>
      <c r="D28" s="6">
        <f>COUNTIFS('Data Pengujian'!$D$5:$D$31,$A28,'Data Pengujian'!$H$5:$H$31,"FAIL")</f>
        <v>0</v>
      </c>
      <c r="E28" s="6">
        <f>COUNTIFS('Data Pengujian'!$D$5:$D$31,$A28,'Data Pengujian'!$H$5:$H$31,"BELUM ADA DATA")</f>
        <v>0</v>
      </c>
      <c r="F28" s="14">
        <f t="shared" si="0"/>
        <v>1</v>
      </c>
      <c r="G28" s="14">
        <f t="shared" si="1"/>
        <v>0</v>
      </c>
    </row>
    <row r="29" spans="1:7" ht="14.25" customHeight="1" x14ac:dyDescent="0.3">
      <c r="A29" s="11" t="s">
        <v>28</v>
      </c>
      <c r="B29" s="6">
        <f>COUNTIF('Data Pengujian'!$D$5:$D$31,$A29)</f>
        <v>3</v>
      </c>
      <c r="C29" s="6">
        <f>COUNTIFS('Data Pengujian'!$D$5:$D$31,$A29,'Data Pengujian'!$H$5:$H$31,"SUCCESS")</f>
        <v>3</v>
      </c>
      <c r="D29" s="6">
        <f>COUNTIFS('Data Pengujian'!$D$5:$D$31,$A29,'Data Pengujian'!$H$5:$H$31,"FAIL")</f>
        <v>0</v>
      </c>
      <c r="E29" s="6">
        <f>COUNTIFS('Data Pengujian'!$D$5:$D$31,$A29,'Data Pengujian'!$H$5:$H$31,"BELUM ADA DATA")</f>
        <v>0</v>
      </c>
      <c r="F29" s="14">
        <f t="shared" si="0"/>
        <v>1</v>
      </c>
      <c r="G29" s="14">
        <f t="shared" si="1"/>
        <v>0</v>
      </c>
    </row>
    <row r="30" spans="1:7" ht="14.25" customHeight="1" x14ac:dyDescent="0.3">
      <c r="A30" s="15" t="s">
        <v>61</v>
      </c>
      <c r="B30" s="16">
        <f>SUM(B21:B29)</f>
        <v>27</v>
      </c>
      <c r="C30" s="16">
        <f>SUM(C21:C29)</f>
        <v>22</v>
      </c>
      <c r="D30" s="16">
        <f>SUM(D21:D29)</f>
        <v>5</v>
      </c>
      <c r="E30" s="16">
        <f>SUM(E21:E29)</f>
        <v>0</v>
      </c>
      <c r="F30" s="17">
        <f t="shared" si="0"/>
        <v>0.81481481481481477</v>
      </c>
      <c r="G30" s="17">
        <f t="shared" si="1"/>
        <v>0.18518518518518517</v>
      </c>
    </row>
  </sheetData>
  <mergeCells count="1">
    <mergeCell ref="A10:G10"/>
  </mergeCells>
  <pageMargins left="0.75" right="0.75" top="1" bottom="1" header="0.511811023622047" footer="0.511811023622047"/>
  <pageSetup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34"/>
  <sheetViews>
    <sheetView zoomScaleNormal="100" workbookViewId="0">
      <selection activeCell="B12" sqref="B12"/>
    </sheetView>
  </sheetViews>
  <sheetFormatPr defaultColWidth="8.6640625" defaultRowHeight="14.4" x14ac:dyDescent="0.3"/>
  <cols>
    <col min="1" max="1" width="34" customWidth="1"/>
    <col min="2" max="2" width="110" customWidth="1"/>
  </cols>
  <sheetData>
    <row r="1" spans="1:2" ht="17.25" customHeight="1" x14ac:dyDescent="0.3"/>
    <row r="2" spans="1:2" ht="17.399999999999999" x14ac:dyDescent="0.3">
      <c r="A2" s="3" t="s">
        <v>65</v>
      </c>
    </row>
    <row r="3" spans="1:2" ht="14.25" customHeight="1" x14ac:dyDescent="0.3"/>
    <row r="4" spans="1:2" ht="31.5" customHeight="1" x14ac:dyDescent="0.3">
      <c r="A4" s="18" t="s">
        <v>66</v>
      </c>
      <c r="B4" s="19"/>
    </row>
    <row r="5" spans="1:2" ht="14.25" customHeight="1" x14ac:dyDescent="0.3">
      <c r="A5" s="20" t="s">
        <v>67</v>
      </c>
      <c r="B5" s="21" t="s">
        <v>68</v>
      </c>
    </row>
    <row r="6" spans="1:2" ht="31.5" customHeight="1" x14ac:dyDescent="0.3">
      <c r="A6" s="18" t="s">
        <v>69</v>
      </c>
      <c r="B6" s="19"/>
    </row>
    <row r="7" spans="1:2" ht="31.5" customHeight="1" x14ac:dyDescent="0.3">
      <c r="A7" s="20" t="s">
        <v>8</v>
      </c>
      <c r="B7" s="21" t="s">
        <v>70</v>
      </c>
    </row>
    <row r="8" spans="1:2" ht="31.5" customHeight="1" x14ac:dyDescent="0.3">
      <c r="A8" s="20" t="s">
        <v>30</v>
      </c>
      <c r="B8" s="21" t="s">
        <v>71</v>
      </c>
    </row>
    <row r="9" spans="1:2" ht="14.25" customHeight="1" x14ac:dyDescent="0.3">
      <c r="A9" s="20" t="s">
        <v>40</v>
      </c>
      <c r="B9" s="21" t="s">
        <v>72</v>
      </c>
    </row>
    <row r="10" spans="1:2" ht="18" customHeight="1" x14ac:dyDescent="0.3">
      <c r="A10" s="18" t="s">
        <v>73</v>
      </c>
      <c r="B10" s="19"/>
    </row>
    <row r="11" spans="1:2" ht="18" customHeight="1" x14ac:dyDescent="0.3">
      <c r="A11" s="20" t="s">
        <v>9</v>
      </c>
      <c r="B11" s="21" t="s">
        <v>74</v>
      </c>
    </row>
    <row r="12" spans="1:2" ht="18" customHeight="1" x14ac:dyDescent="0.3">
      <c r="A12" s="20" t="s">
        <v>13</v>
      </c>
      <c r="B12" s="21" t="s">
        <v>75</v>
      </c>
    </row>
    <row r="13" spans="1:2" ht="18" customHeight="1" x14ac:dyDescent="0.3">
      <c r="A13" s="20" t="s">
        <v>15</v>
      </c>
      <c r="B13" s="21" t="s">
        <v>76</v>
      </c>
    </row>
    <row r="14" spans="1:2" ht="18" customHeight="1" x14ac:dyDescent="0.3">
      <c r="A14" s="20" t="s">
        <v>17</v>
      </c>
      <c r="B14" s="21" t="s">
        <v>77</v>
      </c>
    </row>
    <row r="15" spans="1:2" ht="18" customHeight="1" x14ac:dyDescent="0.3">
      <c r="A15" s="20" t="s">
        <v>20</v>
      </c>
      <c r="B15" s="21" t="s">
        <v>78</v>
      </c>
    </row>
    <row r="16" spans="1:2" ht="18" customHeight="1" x14ac:dyDescent="0.3">
      <c r="A16" s="20" t="s">
        <v>22</v>
      </c>
      <c r="B16" s="21" t="s">
        <v>79</v>
      </c>
    </row>
    <row r="17" spans="1:2" ht="18" customHeight="1" x14ac:dyDescent="0.3">
      <c r="A17" s="20" t="s">
        <v>24</v>
      </c>
      <c r="B17" s="21" t="s">
        <v>80</v>
      </c>
    </row>
    <row r="18" spans="1:2" ht="18" customHeight="1" x14ac:dyDescent="0.3">
      <c r="A18" s="20" t="s">
        <v>26</v>
      </c>
      <c r="B18" s="21" t="s">
        <v>81</v>
      </c>
    </row>
    <row r="19" spans="1:2" ht="14.25" customHeight="1" x14ac:dyDescent="0.3">
      <c r="A19" s="20" t="s">
        <v>28</v>
      </c>
      <c r="B19" s="21" t="s">
        <v>82</v>
      </c>
    </row>
    <row r="20" spans="1:2" ht="45" customHeight="1" x14ac:dyDescent="0.3">
      <c r="A20" s="18" t="s">
        <v>83</v>
      </c>
      <c r="B20" s="19"/>
    </row>
    <row r="21" spans="1:2" ht="58.5" customHeight="1" x14ac:dyDescent="0.3">
      <c r="A21" s="20" t="s">
        <v>84</v>
      </c>
      <c r="B21" s="21" t="s">
        <v>85</v>
      </c>
    </row>
    <row r="22" spans="1:2" ht="14.25" customHeight="1" x14ac:dyDescent="0.3">
      <c r="A22" s="20" t="s">
        <v>86</v>
      </c>
      <c r="B22" s="21" t="s">
        <v>87</v>
      </c>
    </row>
    <row r="23" spans="1:2" ht="18" customHeight="1" x14ac:dyDescent="0.3">
      <c r="A23" s="18" t="s">
        <v>88</v>
      </c>
      <c r="B23" s="19"/>
    </row>
    <row r="24" spans="1:2" ht="18" customHeight="1" x14ac:dyDescent="0.3">
      <c r="A24" s="20" t="s">
        <v>19</v>
      </c>
      <c r="B24" s="21" t="s">
        <v>89</v>
      </c>
    </row>
    <row r="25" spans="1:2" ht="31.5" customHeight="1" x14ac:dyDescent="0.3">
      <c r="A25" s="20" t="s">
        <v>12</v>
      </c>
      <c r="B25" s="21" t="s">
        <v>90</v>
      </c>
    </row>
    <row r="26" spans="1:2" ht="31.5" customHeight="1" x14ac:dyDescent="0.3">
      <c r="A26" s="20" t="s">
        <v>58</v>
      </c>
      <c r="B26" s="21" t="s">
        <v>91</v>
      </c>
    </row>
    <row r="27" spans="1:2" ht="14.25" customHeight="1" x14ac:dyDescent="0.3">
      <c r="A27" s="20" t="s">
        <v>92</v>
      </c>
      <c r="B27" s="21" t="s">
        <v>93</v>
      </c>
    </row>
    <row r="28" spans="1:2" ht="31.5" customHeight="1" x14ac:dyDescent="0.3">
      <c r="A28" s="18" t="s">
        <v>94</v>
      </c>
      <c r="B28" s="19"/>
    </row>
    <row r="29" spans="1:2" ht="45" customHeight="1" x14ac:dyDescent="0.3">
      <c r="A29" s="20" t="s">
        <v>95</v>
      </c>
      <c r="B29" s="21" t="s">
        <v>96</v>
      </c>
    </row>
    <row r="30" spans="1:2" ht="39.6" x14ac:dyDescent="0.3">
      <c r="A30" s="20" t="s">
        <v>97</v>
      </c>
      <c r="B30" s="21" t="s">
        <v>98</v>
      </c>
    </row>
    <row r="31" spans="1:2" ht="31.5" customHeight="1" x14ac:dyDescent="0.3">
      <c r="A31" s="20" t="s">
        <v>99</v>
      </c>
      <c r="B31" s="21" t="s">
        <v>100</v>
      </c>
    </row>
    <row r="32" spans="1:2" ht="31.5" customHeight="1" x14ac:dyDescent="0.3">
      <c r="A32" s="20" t="s">
        <v>101</v>
      </c>
      <c r="B32" s="21" t="s">
        <v>102</v>
      </c>
    </row>
    <row r="33" spans="1:2" ht="31.5" customHeight="1" x14ac:dyDescent="0.3">
      <c r="A33" s="20" t="s">
        <v>103</v>
      </c>
      <c r="B33" s="21" t="s">
        <v>104</v>
      </c>
    </row>
    <row r="34" spans="1:2" ht="26.4" x14ac:dyDescent="0.3">
      <c r="A34" s="20" t="s">
        <v>105</v>
      </c>
      <c r="B34" s="21" t="s">
        <v>106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51"/>
  <sheetViews>
    <sheetView tabSelected="1" zoomScaleNormal="100" workbookViewId="0">
      <pane ySplit="12" topLeftCell="A41" activePane="bottomLeft" state="frozen"/>
      <selection pane="bottomLeft" activeCell="I4" sqref="I4"/>
    </sheetView>
  </sheetViews>
  <sheetFormatPr defaultColWidth="8.6640625" defaultRowHeight="14.4" x14ac:dyDescent="0.3"/>
  <cols>
    <col min="1" max="1" width="5" customWidth="1"/>
    <col min="2" max="2" width="22" customWidth="1"/>
    <col min="3" max="3" width="15" customWidth="1"/>
    <col min="4" max="4" width="62" customWidth="1"/>
    <col min="5" max="5" width="9" customWidth="1"/>
    <col min="6" max="6" width="14" customWidth="1"/>
    <col min="7" max="7" width="12" customWidth="1"/>
  </cols>
  <sheetData>
    <row r="1" spans="1:7" ht="17.25" customHeight="1" x14ac:dyDescent="0.3">
      <c r="A1" s="3" t="s">
        <v>107</v>
      </c>
    </row>
    <row r="2" spans="1:7" ht="14.25" customHeight="1" x14ac:dyDescent="0.3">
      <c r="A2" s="2"/>
    </row>
    <row r="4" spans="1:7" ht="30" customHeight="1" x14ac:dyDescent="0.3">
      <c r="B4" s="5" t="s">
        <v>54</v>
      </c>
      <c r="C4" s="5" t="s">
        <v>108</v>
      </c>
    </row>
    <row r="5" spans="1:7" ht="14.25" customHeight="1" x14ac:dyDescent="0.3">
      <c r="B5" s="11" t="s">
        <v>109</v>
      </c>
      <c r="C5" s="6">
        <f>COUNTIF($B$13:$B$51,B5)</f>
        <v>3</v>
      </c>
    </row>
    <row r="6" spans="1:7" ht="14.25" customHeight="1" x14ac:dyDescent="0.3">
      <c r="B6" s="11" t="s">
        <v>110</v>
      </c>
      <c r="C6" s="6">
        <f>COUNTIF($B$13:$B$51,B6)</f>
        <v>3</v>
      </c>
    </row>
    <row r="7" spans="1:7" ht="14.25" customHeight="1" x14ac:dyDescent="0.3">
      <c r="B7" s="11" t="s">
        <v>111</v>
      </c>
      <c r="C7" s="6">
        <f>COUNTIF($B$13:$B$51,B7)</f>
        <v>27</v>
      </c>
    </row>
    <row r="8" spans="1:7" ht="14.25" customHeight="1" x14ac:dyDescent="0.3">
      <c r="B8" s="11" t="s">
        <v>112</v>
      </c>
      <c r="C8" s="6">
        <f>COUNTIF($B$13:$B$51,B8)</f>
        <v>6</v>
      </c>
    </row>
    <row r="9" spans="1:7" ht="14.25" customHeight="1" x14ac:dyDescent="0.3">
      <c r="B9" s="15" t="s">
        <v>113</v>
      </c>
      <c r="C9" s="16">
        <f>SUM(C5:C8)</f>
        <v>39</v>
      </c>
    </row>
    <row r="10" spans="1:7" ht="14.25" customHeight="1" x14ac:dyDescent="0.3">
      <c r="B10" s="2" t="s">
        <v>114</v>
      </c>
    </row>
    <row r="12" spans="1:7" ht="30" customHeight="1" x14ac:dyDescent="0.3">
      <c r="A12" s="5" t="s">
        <v>1</v>
      </c>
      <c r="B12" s="5" t="s">
        <v>54</v>
      </c>
      <c r="C12" s="5" t="s">
        <v>51</v>
      </c>
      <c r="D12" s="5" t="s">
        <v>115</v>
      </c>
      <c r="E12" s="5" t="s">
        <v>116</v>
      </c>
      <c r="F12" s="5" t="s">
        <v>117</v>
      </c>
      <c r="G12" s="5" t="s">
        <v>118</v>
      </c>
    </row>
    <row r="13" spans="1:7" ht="18" customHeight="1" x14ac:dyDescent="0.3">
      <c r="A13" s="6">
        <v>1</v>
      </c>
      <c r="B13" s="7" t="s">
        <v>109</v>
      </c>
      <c r="C13" s="7" t="s">
        <v>8</v>
      </c>
      <c r="D13" s="7" t="s">
        <v>119</v>
      </c>
      <c r="E13" s="6" t="s">
        <v>120</v>
      </c>
      <c r="F13" s="6" t="s">
        <v>121</v>
      </c>
      <c r="G13" s="22">
        <v>75.8</v>
      </c>
    </row>
    <row r="14" spans="1:7" ht="18" customHeight="1" x14ac:dyDescent="0.3">
      <c r="A14" s="6">
        <v>2</v>
      </c>
      <c r="B14" s="7" t="s">
        <v>109</v>
      </c>
      <c r="C14" s="7" t="s">
        <v>30</v>
      </c>
      <c r="D14" s="7" t="s">
        <v>122</v>
      </c>
      <c r="E14" s="6" t="s">
        <v>120</v>
      </c>
      <c r="F14" s="6" t="s">
        <v>123</v>
      </c>
      <c r="G14" s="22">
        <v>114.4</v>
      </c>
    </row>
    <row r="15" spans="1:7" ht="18" customHeight="1" x14ac:dyDescent="0.3">
      <c r="A15" s="6">
        <v>3</v>
      </c>
      <c r="B15" s="7" t="s">
        <v>109</v>
      </c>
      <c r="C15" s="7" t="s">
        <v>40</v>
      </c>
      <c r="D15" s="7" t="s">
        <v>124</v>
      </c>
      <c r="E15" s="6" t="s">
        <v>120</v>
      </c>
      <c r="F15" s="6" t="s">
        <v>123</v>
      </c>
      <c r="G15" s="22">
        <v>165.2</v>
      </c>
    </row>
    <row r="16" spans="1:7" ht="18" customHeight="1" x14ac:dyDescent="0.3">
      <c r="A16" s="6">
        <v>4</v>
      </c>
      <c r="B16" s="7" t="s">
        <v>110</v>
      </c>
      <c r="C16" s="7" t="s">
        <v>8</v>
      </c>
      <c r="D16" s="7" t="s">
        <v>125</v>
      </c>
      <c r="E16" s="6" t="s">
        <v>126</v>
      </c>
      <c r="F16" s="6" t="s">
        <v>121</v>
      </c>
      <c r="G16" s="22">
        <v>529.20000000000005</v>
      </c>
    </row>
    <row r="17" spans="1:7" ht="27.75" customHeight="1" x14ac:dyDescent="0.3">
      <c r="A17" s="6">
        <v>5</v>
      </c>
      <c r="B17" s="7" t="s">
        <v>112</v>
      </c>
      <c r="C17" s="7" t="s">
        <v>8</v>
      </c>
      <c r="D17" s="7" t="s">
        <v>127</v>
      </c>
      <c r="E17" s="6" t="s">
        <v>128</v>
      </c>
      <c r="F17" s="6" t="s">
        <v>129</v>
      </c>
      <c r="G17" s="22">
        <v>0</v>
      </c>
    </row>
    <row r="18" spans="1:7" ht="18" customHeight="1" x14ac:dyDescent="0.3">
      <c r="A18" s="6">
        <v>6</v>
      </c>
      <c r="B18" s="7" t="s">
        <v>110</v>
      </c>
      <c r="C18" s="7" t="s">
        <v>30</v>
      </c>
      <c r="D18" s="7" t="s">
        <v>130</v>
      </c>
      <c r="E18" s="6" t="s">
        <v>126</v>
      </c>
      <c r="F18" s="6" t="s">
        <v>123</v>
      </c>
      <c r="G18" s="22">
        <v>1116.7</v>
      </c>
    </row>
    <row r="19" spans="1:7" ht="27.75" customHeight="1" x14ac:dyDescent="0.3">
      <c r="A19" s="6">
        <v>7</v>
      </c>
      <c r="B19" s="7" t="s">
        <v>112</v>
      </c>
      <c r="C19" s="7" t="s">
        <v>30</v>
      </c>
      <c r="D19" s="7" t="s">
        <v>131</v>
      </c>
      <c r="E19" s="6" t="s">
        <v>128</v>
      </c>
      <c r="F19" s="6" t="s">
        <v>129</v>
      </c>
      <c r="G19" s="22">
        <v>0</v>
      </c>
    </row>
    <row r="20" spans="1:7" ht="18" customHeight="1" x14ac:dyDescent="0.3">
      <c r="A20" s="6">
        <v>8</v>
      </c>
      <c r="B20" s="7" t="s">
        <v>110</v>
      </c>
      <c r="C20" s="7" t="s">
        <v>40</v>
      </c>
      <c r="D20" s="7" t="s">
        <v>132</v>
      </c>
      <c r="E20" s="6" t="s">
        <v>126</v>
      </c>
      <c r="F20" s="6" t="s">
        <v>123</v>
      </c>
      <c r="G20" s="22">
        <v>1337</v>
      </c>
    </row>
    <row r="21" spans="1:7" ht="27.75" customHeight="1" x14ac:dyDescent="0.3">
      <c r="A21" s="6">
        <v>9</v>
      </c>
      <c r="B21" s="7" t="s">
        <v>112</v>
      </c>
      <c r="C21" s="7" t="s">
        <v>40</v>
      </c>
      <c r="D21" s="7" t="s">
        <v>133</v>
      </c>
      <c r="E21" s="6" t="s">
        <v>128</v>
      </c>
      <c r="F21" s="6" t="s">
        <v>129</v>
      </c>
      <c r="G21" s="22">
        <v>0</v>
      </c>
    </row>
    <row r="22" spans="1:7" ht="18" customHeight="1" x14ac:dyDescent="0.3">
      <c r="A22" s="6">
        <v>10</v>
      </c>
      <c r="B22" s="7" t="s">
        <v>111</v>
      </c>
      <c r="C22" s="7" t="s">
        <v>8</v>
      </c>
      <c r="D22" s="7" t="s">
        <v>10</v>
      </c>
      <c r="E22" s="6" t="s">
        <v>126</v>
      </c>
      <c r="F22" s="6" t="s">
        <v>121</v>
      </c>
      <c r="G22" s="22">
        <v>525.29999999999995</v>
      </c>
    </row>
    <row r="23" spans="1:7" ht="18" customHeight="1" x14ac:dyDescent="0.3">
      <c r="A23" s="6">
        <v>11</v>
      </c>
      <c r="B23" s="7" t="s">
        <v>111</v>
      </c>
      <c r="C23" s="7" t="s">
        <v>8</v>
      </c>
      <c r="D23" s="7" t="s">
        <v>14</v>
      </c>
      <c r="E23" s="6" t="s">
        <v>126</v>
      </c>
      <c r="F23" s="6" t="s">
        <v>121</v>
      </c>
      <c r="G23" s="22">
        <v>557.20000000000005</v>
      </c>
    </row>
    <row r="24" spans="1:7" ht="18" customHeight="1" x14ac:dyDescent="0.3">
      <c r="A24" s="6">
        <v>12</v>
      </c>
      <c r="B24" s="7" t="s">
        <v>111</v>
      </c>
      <c r="C24" s="7" t="s">
        <v>8</v>
      </c>
      <c r="D24" s="7" t="s">
        <v>16</v>
      </c>
      <c r="E24" s="6" t="s">
        <v>126</v>
      </c>
      <c r="F24" s="6" t="s">
        <v>134</v>
      </c>
      <c r="G24" s="22">
        <v>454.8</v>
      </c>
    </row>
    <row r="25" spans="1:7" ht="18" customHeight="1" x14ac:dyDescent="0.3">
      <c r="A25" s="6">
        <v>13</v>
      </c>
      <c r="B25" s="7" t="s">
        <v>111</v>
      </c>
      <c r="C25" s="7" t="s">
        <v>8</v>
      </c>
      <c r="D25" s="7" t="s">
        <v>18</v>
      </c>
      <c r="E25" s="6" t="s">
        <v>126</v>
      </c>
      <c r="F25" s="6" t="s">
        <v>121</v>
      </c>
      <c r="G25" s="22">
        <v>510.4</v>
      </c>
    </row>
    <row r="26" spans="1:7" ht="18" customHeight="1" x14ac:dyDescent="0.3">
      <c r="A26" s="6">
        <v>14</v>
      </c>
      <c r="B26" s="7" t="s">
        <v>111</v>
      </c>
      <c r="C26" s="7" t="s">
        <v>8</v>
      </c>
      <c r="D26" s="7" t="s">
        <v>21</v>
      </c>
      <c r="E26" s="6" t="s">
        <v>126</v>
      </c>
      <c r="F26" s="6" t="s">
        <v>121</v>
      </c>
      <c r="G26" s="22">
        <v>1097</v>
      </c>
    </row>
    <row r="27" spans="1:7" ht="18" customHeight="1" x14ac:dyDescent="0.3">
      <c r="A27" s="6">
        <v>15</v>
      </c>
      <c r="B27" s="7" t="s">
        <v>111</v>
      </c>
      <c r="C27" s="7" t="s">
        <v>8</v>
      </c>
      <c r="D27" s="7" t="s">
        <v>23</v>
      </c>
      <c r="E27" s="6" t="s">
        <v>135</v>
      </c>
      <c r="F27" s="6" t="s">
        <v>121</v>
      </c>
      <c r="G27" s="22">
        <v>65.900000000000006</v>
      </c>
    </row>
    <row r="28" spans="1:7" ht="18" customHeight="1" x14ac:dyDescent="0.3">
      <c r="A28" s="6">
        <v>16</v>
      </c>
      <c r="B28" s="7" t="s">
        <v>111</v>
      </c>
      <c r="C28" s="7" t="s">
        <v>8</v>
      </c>
      <c r="D28" s="7" t="s">
        <v>25</v>
      </c>
      <c r="E28" s="6" t="s">
        <v>135</v>
      </c>
      <c r="F28" s="6" t="s">
        <v>121</v>
      </c>
      <c r="G28" s="22">
        <v>73</v>
      </c>
    </row>
    <row r="29" spans="1:7" ht="18" customHeight="1" x14ac:dyDescent="0.3">
      <c r="A29" s="6">
        <v>17</v>
      </c>
      <c r="B29" s="7" t="s">
        <v>111</v>
      </c>
      <c r="C29" s="7" t="s">
        <v>8</v>
      </c>
      <c r="D29" s="7" t="s">
        <v>27</v>
      </c>
      <c r="E29" s="6" t="s">
        <v>135</v>
      </c>
      <c r="F29" s="6" t="s">
        <v>121</v>
      </c>
      <c r="G29" s="22">
        <v>74.8</v>
      </c>
    </row>
    <row r="30" spans="1:7" ht="18" customHeight="1" x14ac:dyDescent="0.3">
      <c r="A30" s="6">
        <v>18</v>
      </c>
      <c r="B30" s="7" t="s">
        <v>111</v>
      </c>
      <c r="C30" s="7" t="s">
        <v>8</v>
      </c>
      <c r="D30" s="7" t="s">
        <v>29</v>
      </c>
      <c r="E30" s="6" t="s">
        <v>126</v>
      </c>
      <c r="F30" s="6" t="s">
        <v>121</v>
      </c>
      <c r="G30" s="22">
        <v>562.79999999999995</v>
      </c>
    </row>
    <row r="31" spans="1:7" ht="27.75" customHeight="1" x14ac:dyDescent="0.3">
      <c r="A31" s="6">
        <v>19</v>
      </c>
      <c r="B31" s="7" t="s">
        <v>112</v>
      </c>
      <c r="C31" s="7" t="s">
        <v>8</v>
      </c>
      <c r="D31" s="7" t="s">
        <v>127</v>
      </c>
      <c r="E31" s="6" t="s">
        <v>128</v>
      </c>
      <c r="F31" s="6" t="s">
        <v>129</v>
      </c>
      <c r="G31" s="22">
        <v>0</v>
      </c>
    </row>
    <row r="32" spans="1:7" ht="18" customHeight="1" x14ac:dyDescent="0.3">
      <c r="A32" s="6">
        <v>20</v>
      </c>
      <c r="B32" s="7" t="s">
        <v>111</v>
      </c>
      <c r="C32" s="7" t="s">
        <v>30</v>
      </c>
      <c r="D32" s="7" t="s">
        <v>31</v>
      </c>
      <c r="E32" s="6" t="s">
        <v>126</v>
      </c>
      <c r="F32" s="6" t="s">
        <v>123</v>
      </c>
      <c r="G32" s="22">
        <v>1345.2</v>
      </c>
    </row>
    <row r="33" spans="1:7" ht="18" customHeight="1" x14ac:dyDescent="0.3">
      <c r="A33" s="6">
        <v>21</v>
      </c>
      <c r="B33" s="7" t="s">
        <v>111</v>
      </c>
      <c r="C33" s="7" t="s">
        <v>30</v>
      </c>
      <c r="D33" s="7" t="s">
        <v>32</v>
      </c>
      <c r="E33" s="6" t="s">
        <v>126</v>
      </c>
      <c r="F33" s="6" t="s">
        <v>123</v>
      </c>
      <c r="G33" s="22">
        <v>1348.4</v>
      </c>
    </row>
    <row r="34" spans="1:7" ht="18" customHeight="1" x14ac:dyDescent="0.3">
      <c r="A34" s="6">
        <v>22</v>
      </c>
      <c r="B34" s="7" t="s">
        <v>111</v>
      </c>
      <c r="C34" s="7" t="s">
        <v>30</v>
      </c>
      <c r="D34" s="7" t="s">
        <v>33</v>
      </c>
      <c r="E34" s="6" t="s">
        <v>126</v>
      </c>
      <c r="F34" s="6" t="s">
        <v>136</v>
      </c>
      <c r="G34" s="22">
        <v>937.6</v>
      </c>
    </row>
    <row r="35" spans="1:7" ht="18" customHeight="1" x14ac:dyDescent="0.3">
      <c r="A35" s="6">
        <v>23</v>
      </c>
      <c r="B35" s="7" t="s">
        <v>111</v>
      </c>
      <c r="C35" s="7" t="s">
        <v>30</v>
      </c>
      <c r="D35" s="7" t="s">
        <v>34</v>
      </c>
      <c r="E35" s="6" t="s">
        <v>126</v>
      </c>
      <c r="F35" s="6" t="s">
        <v>123</v>
      </c>
      <c r="G35" s="22">
        <v>1089.7</v>
      </c>
    </row>
    <row r="36" spans="1:7" ht="18" customHeight="1" x14ac:dyDescent="0.3">
      <c r="A36" s="6">
        <v>24</v>
      </c>
      <c r="B36" s="7" t="s">
        <v>111</v>
      </c>
      <c r="C36" s="7" t="s">
        <v>30</v>
      </c>
      <c r="D36" s="7" t="s">
        <v>35</v>
      </c>
      <c r="E36" s="6" t="s">
        <v>126</v>
      </c>
      <c r="F36" s="6" t="s">
        <v>123</v>
      </c>
      <c r="G36" s="22">
        <v>2304.5</v>
      </c>
    </row>
    <row r="37" spans="1:7" ht="18" customHeight="1" x14ac:dyDescent="0.3">
      <c r="A37" s="6">
        <v>25</v>
      </c>
      <c r="B37" s="7" t="s">
        <v>111</v>
      </c>
      <c r="C37" s="7" t="s">
        <v>30</v>
      </c>
      <c r="D37" s="7" t="s">
        <v>36</v>
      </c>
      <c r="E37" s="6" t="s">
        <v>135</v>
      </c>
      <c r="F37" s="6" t="s">
        <v>123</v>
      </c>
      <c r="G37" s="22">
        <v>120.2</v>
      </c>
    </row>
    <row r="38" spans="1:7" ht="18" customHeight="1" x14ac:dyDescent="0.3">
      <c r="A38" s="6">
        <v>26</v>
      </c>
      <c r="B38" s="7" t="s">
        <v>111</v>
      </c>
      <c r="C38" s="7" t="s">
        <v>30</v>
      </c>
      <c r="D38" s="7" t="s">
        <v>37</v>
      </c>
      <c r="E38" s="6" t="s">
        <v>135</v>
      </c>
      <c r="F38" s="6" t="s">
        <v>123</v>
      </c>
      <c r="G38" s="22">
        <v>112.4</v>
      </c>
    </row>
    <row r="39" spans="1:7" ht="18" customHeight="1" x14ac:dyDescent="0.3">
      <c r="A39" s="6">
        <v>27</v>
      </c>
      <c r="B39" s="7" t="s">
        <v>111</v>
      </c>
      <c r="C39" s="7" t="s">
        <v>30</v>
      </c>
      <c r="D39" s="7" t="s">
        <v>38</v>
      </c>
      <c r="E39" s="6" t="s">
        <v>135</v>
      </c>
      <c r="F39" s="6" t="s">
        <v>123</v>
      </c>
      <c r="G39" s="22">
        <v>112.9</v>
      </c>
    </row>
    <row r="40" spans="1:7" ht="18" customHeight="1" x14ac:dyDescent="0.3">
      <c r="A40" s="6">
        <v>28</v>
      </c>
      <c r="B40" s="7" t="s">
        <v>111</v>
      </c>
      <c r="C40" s="7" t="s">
        <v>30</v>
      </c>
      <c r="D40" s="7" t="s">
        <v>39</v>
      </c>
      <c r="E40" s="6" t="s">
        <v>126</v>
      </c>
      <c r="F40" s="6" t="s">
        <v>123</v>
      </c>
      <c r="G40" s="22">
        <v>1230.8</v>
      </c>
    </row>
    <row r="41" spans="1:7" ht="27.75" customHeight="1" x14ac:dyDescent="0.3">
      <c r="A41" s="6">
        <v>29</v>
      </c>
      <c r="B41" s="7" t="s">
        <v>112</v>
      </c>
      <c r="C41" s="7" t="s">
        <v>30</v>
      </c>
      <c r="D41" s="7" t="s">
        <v>131</v>
      </c>
      <c r="E41" s="6" t="s">
        <v>128</v>
      </c>
      <c r="F41" s="6" t="s">
        <v>129</v>
      </c>
      <c r="G41" s="22">
        <v>0</v>
      </c>
    </row>
    <row r="42" spans="1:7" ht="18" customHeight="1" x14ac:dyDescent="0.3">
      <c r="A42" s="6">
        <v>30</v>
      </c>
      <c r="B42" s="7" t="s">
        <v>111</v>
      </c>
      <c r="C42" s="7" t="s">
        <v>40</v>
      </c>
      <c r="D42" s="7" t="s">
        <v>41</v>
      </c>
      <c r="E42" s="6" t="s">
        <v>126</v>
      </c>
      <c r="F42" s="6" t="s">
        <v>123</v>
      </c>
      <c r="G42" s="22">
        <v>1428.7</v>
      </c>
    </row>
    <row r="43" spans="1:7" ht="18" customHeight="1" x14ac:dyDescent="0.3">
      <c r="A43" s="6">
        <v>31</v>
      </c>
      <c r="B43" s="7" t="s">
        <v>111</v>
      </c>
      <c r="C43" s="7" t="s">
        <v>40</v>
      </c>
      <c r="D43" s="7" t="s">
        <v>42</v>
      </c>
      <c r="E43" s="6" t="s">
        <v>126</v>
      </c>
      <c r="F43" s="6" t="s">
        <v>123</v>
      </c>
      <c r="G43" s="22">
        <v>1371.1</v>
      </c>
    </row>
    <row r="44" spans="1:7" ht="18" customHeight="1" x14ac:dyDescent="0.3">
      <c r="A44" s="6">
        <v>32</v>
      </c>
      <c r="B44" s="7" t="s">
        <v>111</v>
      </c>
      <c r="C44" s="7" t="s">
        <v>40</v>
      </c>
      <c r="D44" s="7" t="s">
        <v>43</v>
      </c>
      <c r="E44" s="6" t="s">
        <v>126</v>
      </c>
      <c r="F44" s="6" t="s">
        <v>136</v>
      </c>
      <c r="G44" s="22">
        <v>1065.5</v>
      </c>
    </row>
    <row r="45" spans="1:7" ht="18" customHeight="1" x14ac:dyDescent="0.3">
      <c r="A45" s="6">
        <v>33</v>
      </c>
      <c r="B45" s="7" t="s">
        <v>111</v>
      </c>
      <c r="C45" s="7" t="s">
        <v>40</v>
      </c>
      <c r="D45" s="7" t="s">
        <v>44</v>
      </c>
      <c r="E45" s="6" t="s">
        <v>126</v>
      </c>
      <c r="F45" s="6" t="s">
        <v>123</v>
      </c>
      <c r="G45" s="22">
        <v>1172.4000000000001</v>
      </c>
    </row>
    <row r="46" spans="1:7" ht="18" customHeight="1" x14ac:dyDescent="0.3">
      <c r="A46" s="6">
        <v>34</v>
      </c>
      <c r="B46" s="7" t="s">
        <v>111</v>
      </c>
      <c r="C46" s="7" t="s">
        <v>40</v>
      </c>
      <c r="D46" s="7" t="s">
        <v>45</v>
      </c>
      <c r="E46" s="6" t="s">
        <v>126</v>
      </c>
      <c r="F46" s="6" t="s">
        <v>123</v>
      </c>
      <c r="G46" s="22">
        <v>2527.4</v>
      </c>
    </row>
    <row r="47" spans="1:7" ht="18" customHeight="1" x14ac:dyDescent="0.3">
      <c r="A47" s="6">
        <v>35</v>
      </c>
      <c r="B47" s="7" t="s">
        <v>111</v>
      </c>
      <c r="C47" s="7" t="s">
        <v>40</v>
      </c>
      <c r="D47" s="7" t="s">
        <v>46</v>
      </c>
      <c r="E47" s="6" t="s">
        <v>135</v>
      </c>
      <c r="F47" s="6" t="s">
        <v>123</v>
      </c>
      <c r="G47" s="22">
        <v>189.4</v>
      </c>
    </row>
    <row r="48" spans="1:7" ht="18" customHeight="1" x14ac:dyDescent="0.3">
      <c r="A48" s="6">
        <v>36</v>
      </c>
      <c r="B48" s="7" t="s">
        <v>111</v>
      </c>
      <c r="C48" s="7" t="s">
        <v>40</v>
      </c>
      <c r="D48" s="7" t="s">
        <v>47</v>
      </c>
      <c r="E48" s="6" t="s">
        <v>135</v>
      </c>
      <c r="F48" s="6" t="s">
        <v>123</v>
      </c>
      <c r="G48" s="22">
        <v>173.2</v>
      </c>
    </row>
    <row r="49" spans="1:7" ht="18" customHeight="1" x14ac:dyDescent="0.3">
      <c r="A49" s="6">
        <v>37</v>
      </c>
      <c r="B49" s="7" t="s">
        <v>111</v>
      </c>
      <c r="C49" s="7" t="s">
        <v>40</v>
      </c>
      <c r="D49" s="7" t="s">
        <v>48</v>
      </c>
      <c r="E49" s="6" t="s">
        <v>135</v>
      </c>
      <c r="F49" s="6" t="s">
        <v>123</v>
      </c>
      <c r="G49" s="22">
        <v>176.1</v>
      </c>
    </row>
    <row r="50" spans="1:7" ht="18" customHeight="1" x14ac:dyDescent="0.3">
      <c r="A50" s="6">
        <v>38</v>
      </c>
      <c r="B50" s="7" t="s">
        <v>111</v>
      </c>
      <c r="C50" s="7" t="s">
        <v>40</v>
      </c>
      <c r="D50" s="7" t="s">
        <v>49</v>
      </c>
      <c r="E50" s="6" t="s">
        <v>126</v>
      </c>
      <c r="F50" s="6" t="s">
        <v>123</v>
      </c>
      <c r="G50" s="22">
        <v>1293.5999999999999</v>
      </c>
    </row>
    <row r="51" spans="1:7" ht="27.75" customHeight="1" x14ac:dyDescent="0.3">
      <c r="A51" s="6">
        <v>39</v>
      </c>
      <c r="B51" s="7" t="s">
        <v>112</v>
      </c>
      <c r="C51" s="7" t="s">
        <v>40</v>
      </c>
      <c r="D51" s="7" t="s">
        <v>133</v>
      </c>
      <c r="E51" s="6" t="s">
        <v>128</v>
      </c>
      <c r="F51" s="6" t="s">
        <v>129</v>
      </c>
      <c r="G51" s="22">
        <v>0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Data Pengujian</vt:lpstr>
      <vt:lpstr>Rekapitulasi</vt:lpstr>
      <vt:lpstr>Ringkasan</vt:lpstr>
      <vt:lpstr>Keterangan</vt:lpstr>
      <vt:lpstr>Inventaris Berkas</vt:lpstr>
      <vt:lpstr>'Data Pengujian'!Print_Area</vt:lpstr>
      <vt:lpstr>'Data Pengujian'!Print_Titles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Farrel Fernaldy</cp:lastModifiedBy>
  <cp:revision>0</cp:revision>
  <dcterms:created xsi:type="dcterms:W3CDTF">2026-09-30T12:52:11Z</dcterms:created>
  <dcterms:modified xsi:type="dcterms:W3CDTF">2026-09-30T13:25:24Z</dcterms:modified>
  <dc:language>en-US</dc:language>
</cp:coreProperties>
</file>